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Transaksi Servis" sheetId="1" state="visible" r:id="rId1"/>
    <sheet xmlns:r="http://schemas.openxmlformats.org/officeDocument/2006/relationships" name="Ringkasan KPI" sheetId="2" state="visible" r:id="rId2"/>
    <sheet xmlns:r="http://schemas.openxmlformats.org/officeDocument/2006/relationships" name="Analisis Regional" sheetId="3" state="visible" r:id="rId3"/>
    <sheet xmlns:r="http://schemas.openxmlformats.org/officeDocument/2006/relationships" name="Monitoring Business Plan" sheetId="4" state="visible" r:id="rId4"/>
  </sheets>
  <definedNames>
    <definedName name="_xlnm._FilterDatabase" localSheetId="0" hidden="1">'Data Transaksi Servis'!$A$1:$T$101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 jam&quot;"/>
    <numFmt numFmtId="165" formatCode="0.0&quot;%&quot;"/>
    <numFmt numFmtId="166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EBF5FB"/>
        <bgColor rgb="00EBF5FB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3" fontId="2" fillId="3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3" fontId="2" fillId="4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6" fillId="7" borderId="1" applyAlignment="1" pivotButton="0" quotePrefix="0" xfId="0">
      <alignment horizontal="right" vertical="center"/>
    </xf>
    <xf numFmtId="0" fontId="0" fillId="0" borderId="4" pivotButton="0" quotePrefix="0" xfId="0"/>
    <xf numFmtId="164" fontId="6" fillId="7" borderId="1" applyAlignment="1" pivotButton="0" quotePrefix="0" xfId="0">
      <alignment horizontal="right" vertical="center"/>
    </xf>
    <xf numFmtId="2" fontId="6" fillId="7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3" fontId="6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3" fontId="6" fillId="3" borderId="1" applyAlignment="1" pivotButton="0" quotePrefix="0" xfId="0">
      <alignment horizontal="right" vertical="center"/>
    </xf>
    <xf numFmtId="2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right" vertical="center"/>
    </xf>
    <xf numFmtId="2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right" vertical="center"/>
    </xf>
    <xf numFmtId="2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32" customWidth="1" min="4" max="4"/>
    <col width="18" customWidth="1" min="5" max="5"/>
    <col width="18" customWidth="1" min="6" max="6"/>
    <col width="22" customWidth="1" min="7" max="7"/>
    <col width="10" customWidth="1" min="8" max="8"/>
    <col width="18" customWidth="1" min="9" max="9"/>
    <col width="16" customWidth="1" min="10" max="10"/>
    <col width="12" customWidth="1" min="11" max="11"/>
    <col width="14" customWidth="1" min="12" max="12"/>
    <col width="8" customWidth="1" min="13" max="13"/>
    <col width="12" customWidth="1" min="14" max="14"/>
    <col width="18" customWidth="1" min="15" max="15"/>
    <col width="20" customWidth="1" min="16" max="16"/>
    <col width="18" customWidth="1" min="17" max="17"/>
    <col width="8" customWidth="1" min="18" max="18"/>
    <col width="16" customWidth="1" min="19" max="19"/>
    <col width="28" customWidth="1" min="20" max="20"/>
  </cols>
  <sheetData>
    <row r="1" ht="35" customHeight="1">
      <c r="A1" s="1" t="inlineStr">
        <is>
          <t>No</t>
        </is>
      </c>
      <c r="B1" s="1" t="inlineStr">
        <is>
          <t>ID Transaksi</t>
        </is>
      </c>
      <c r="C1" s="1" t="inlineStr">
        <is>
          <t>Tanggal</t>
        </is>
      </c>
      <c r="D1" s="1" t="inlineStr">
        <is>
          <t>Nama Dealer</t>
        </is>
      </c>
      <c r="E1" s="1" t="inlineStr">
        <is>
          <t>Kota</t>
        </is>
      </c>
      <c r="F1" s="1" t="inlineStr">
        <is>
          <t>Provinsi</t>
        </is>
      </c>
      <c r="G1" s="1" t="inlineStr">
        <is>
          <t>Jenis Layanan</t>
        </is>
      </c>
      <c r="H1" s="1" t="inlineStr">
        <is>
          <t>Kategori AC</t>
        </is>
      </c>
      <c r="I1" s="1" t="inlineStr">
        <is>
          <t>Nama Teknisi</t>
        </is>
      </c>
      <c r="J1" s="1" t="inlineStr">
        <is>
          <t>Sertifikasi Teknisi</t>
        </is>
      </c>
      <c r="K1" s="1" t="inlineStr">
        <is>
          <t>Merek Kendaraan</t>
        </is>
      </c>
      <c r="L1" s="1" t="inlineStr">
        <is>
          <t>Tipe Kendaraan</t>
        </is>
      </c>
      <c r="M1" s="1" t="inlineStr">
        <is>
          <t>Tahun Kendaraan</t>
        </is>
      </c>
      <c r="N1" s="1" t="inlineStr">
        <is>
          <t>Durasi Servis (jam)</t>
        </is>
      </c>
      <c r="O1" s="1" t="inlineStr">
        <is>
          <t>Biaya Jasa (Rp)</t>
        </is>
      </c>
      <c r="P1" s="1" t="inlineStr">
        <is>
          <t>Biaya Suku Cadang (Rp)</t>
        </is>
      </c>
      <c r="Q1" s="1" t="inlineStr">
        <is>
          <t>Total Biaya (Rp)</t>
        </is>
      </c>
      <c r="R1" s="1" t="inlineStr">
        <is>
          <t>Rating Kepuasan</t>
        </is>
      </c>
      <c r="S1" s="1" t="inlineStr">
        <is>
          <t>Status Penyelesaian</t>
        </is>
      </c>
      <c r="T1" s="1" t="inlineStr">
        <is>
          <t>Keterangan</t>
        </is>
      </c>
    </row>
    <row r="2">
      <c r="A2" s="2" t="n">
        <v>1</v>
      </c>
      <c r="B2" s="3" t="inlineStr">
        <is>
          <t>MTO-202401-0001</t>
        </is>
      </c>
      <c r="C2" s="2" t="inlineStr">
        <is>
          <t>2024-01-17</t>
        </is>
      </c>
      <c r="D2" s="3" t="inlineStr">
        <is>
          <t>Auto2000 Tangerang Selatan</t>
        </is>
      </c>
      <c r="E2" s="3" t="inlineStr">
        <is>
          <t>Tangerang Selatan</t>
        </is>
      </c>
      <c r="F2" s="3" t="inlineStr">
        <is>
          <t>Banten</t>
        </is>
      </c>
      <c r="G2" s="3" t="inlineStr">
        <is>
          <t>Servis Non-AC (Tune Up)</t>
        </is>
      </c>
      <c r="H2" s="2" t="inlineStr">
        <is>
          <t>Non-AC</t>
        </is>
      </c>
      <c r="I2" s="3" t="inlineStr">
        <is>
          <t>Ahmad Fauzi</t>
        </is>
      </c>
      <c r="J2" s="3" t="inlineStr">
        <is>
          <t>ATC Level 2</t>
        </is>
      </c>
      <c r="K2" s="3" t="inlineStr">
        <is>
          <t>Suzuki</t>
        </is>
      </c>
      <c r="L2" s="3" t="inlineStr">
        <is>
          <t>XL7</t>
        </is>
      </c>
      <c r="M2" s="2" t="n">
        <v>2018</v>
      </c>
      <c r="N2" s="2" t="n">
        <v>1.3</v>
      </c>
      <c r="O2" s="4" t="n">
        <v>254000</v>
      </c>
      <c r="P2" s="4" t="n">
        <v>1435000</v>
      </c>
      <c r="Q2" s="4">
        <f>O2+P2</f>
        <v/>
      </c>
      <c r="R2" s="2" t="n">
        <v>4.6</v>
      </c>
      <c r="S2" s="3" t="inlineStr">
        <is>
          <t>Selesai</t>
        </is>
      </c>
      <c r="T2" s="3" t="inlineStr">
        <is>
          <t>Garansi komponen baru</t>
        </is>
      </c>
    </row>
    <row r="3">
      <c r="A3" s="5" t="n">
        <v>2</v>
      </c>
      <c r="B3" s="6" t="inlineStr">
        <is>
          <t>MTO-202502-0002</t>
        </is>
      </c>
      <c r="C3" s="5" t="inlineStr">
        <is>
          <t>2025-02-18</t>
        </is>
      </c>
      <c r="D3" s="6" t="inlineStr">
        <is>
          <t>Auto2000 Jakarta Selatan</t>
        </is>
      </c>
      <c r="E3" s="6" t="inlineStr">
        <is>
          <t>Jakarta Selatan</t>
        </is>
      </c>
      <c r="F3" s="6" t="inlineStr">
        <is>
          <t>DKI Jakarta</t>
        </is>
      </c>
      <c r="G3" s="6" t="inlineStr">
        <is>
          <t>Servis Non-AC (Tune Up)</t>
        </is>
      </c>
      <c r="H3" s="5" t="inlineStr">
        <is>
          <t>Non-AC</t>
        </is>
      </c>
      <c r="I3" s="6" t="inlineStr">
        <is>
          <t>Dwi Rahmadi</t>
        </is>
      </c>
      <c r="J3" s="6" t="inlineStr">
        <is>
          <t>ATC Level 2</t>
        </is>
      </c>
      <c r="K3" s="6" t="inlineStr">
        <is>
          <t>Mitsubishi</t>
        </is>
      </c>
      <c r="L3" s="6" t="inlineStr">
        <is>
          <t>Xpander</t>
        </is>
      </c>
      <c r="M3" s="5" t="n">
        <v>2023</v>
      </c>
      <c r="N3" s="5" t="n">
        <v>1.6</v>
      </c>
      <c r="O3" s="7" t="n">
        <v>815000</v>
      </c>
      <c r="P3" s="7" t="n">
        <v>1486000</v>
      </c>
      <c r="Q3" s="7">
        <f>O3+P3</f>
        <v/>
      </c>
      <c r="R3" s="5" t="n">
        <v>4.3</v>
      </c>
      <c r="S3" s="6" t="inlineStr">
        <is>
          <t>Selesai</t>
        </is>
      </c>
      <c r="T3" s="6" t="inlineStr">
        <is>
          <t>Servis darurat - kendaraan mogok</t>
        </is>
      </c>
    </row>
    <row r="4">
      <c r="A4" s="2" t="n">
        <v>3</v>
      </c>
      <c r="B4" s="3" t="inlineStr">
        <is>
          <t>MTO-202411-0003</t>
        </is>
      </c>
      <c r="C4" s="2" t="inlineStr">
        <is>
          <t>2024-11-05</t>
        </is>
      </c>
      <c r="D4" s="3" t="inlineStr">
        <is>
          <t>Mitsubishi Bogor Pajajaran</t>
        </is>
      </c>
      <c r="E4" s="3" t="inlineStr">
        <is>
          <t>Bogor</t>
        </is>
      </c>
      <c r="F4" s="3" t="inlineStr">
        <is>
          <t>Jawa Barat</t>
        </is>
      </c>
      <c r="G4" s="3" t="inlineStr">
        <is>
          <t>Servis AC Mobil</t>
        </is>
      </c>
      <c r="H4" s="2" t="inlineStr">
        <is>
          <t>AC</t>
        </is>
      </c>
      <c r="I4" s="3" t="inlineStr">
        <is>
          <t>Cahyo Purnomo</t>
        </is>
      </c>
      <c r="J4" s="3" t="inlineStr">
        <is>
          <t>ATC Level 3</t>
        </is>
      </c>
      <c r="K4" s="3" t="inlineStr">
        <is>
          <t>Wuling</t>
        </is>
      </c>
      <c r="L4" s="3" t="inlineStr">
        <is>
          <t>Confero</t>
        </is>
      </c>
      <c r="M4" s="2" t="n">
        <v>2019</v>
      </c>
      <c r="N4" s="2" t="n">
        <v>1.4</v>
      </c>
      <c r="O4" s="4" t="n">
        <v>494000</v>
      </c>
      <c r="P4" s="4" t="n">
        <v>259000</v>
      </c>
      <c r="Q4" s="4">
        <f>O4+P4</f>
        <v/>
      </c>
      <c r="R4" s="2" t="n">
        <v>3.6</v>
      </c>
      <c r="S4" s="3" t="inlineStr">
        <is>
          <t>Selesai</t>
        </is>
      </c>
      <c r="T4" s="3" t="inlineStr">
        <is>
          <t>Tindak lanjut servis sebelumnya</t>
        </is>
      </c>
    </row>
    <row r="5">
      <c r="A5" s="5" t="n">
        <v>4</v>
      </c>
      <c r="B5" s="6" t="inlineStr">
        <is>
          <t>MTO-202412-0004</t>
        </is>
      </c>
      <c r="C5" s="5" t="inlineStr">
        <is>
          <t>2024-12-26</t>
        </is>
      </c>
      <c r="D5" s="6" t="inlineStr">
        <is>
          <t>Toyota Yogyakarta Magelang</t>
        </is>
      </c>
      <c r="E5" s="6" t="inlineStr">
        <is>
          <t>Yogyakarta</t>
        </is>
      </c>
      <c r="F5" s="6" t="inlineStr">
        <is>
          <t>DI Yogyakarta</t>
        </is>
      </c>
      <c r="G5" s="6" t="inlineStr">
        <is>
          <t>Servis AC Mobil</t>
        </is>
      </c>
      <c r="H5" s="5" t="inlineStr">
        <is>
          <t>AC</t>
        </is>
      </c>
      <c r="I5" s="6" t="inlineStr">
        <is>
          <t>Hendra Wijaya</t>
        </is>
      </c>
      <c r="J5" s="6" t="inlineStr">
        <is>
          <t>ATC Level 1</t>
        </is>
      </c>
      <c r="K5" s="6" t="inlineStr">
        <is>
          <t>Honda</t>
        </is>
      </c>
      <c r="L5" s="6" t="inlineStr">
        <is>
          <t>HR-V</t>
        </is>
      </c>
      <c r="M5" s="5" t="n">
        <v>2016</v>
      </c>
      <c r="N5" s="5" t="n">
        <v>3.5</v>
      </c>
      <c r="O5" s="7" t="n">
        <v>793000</v>
      </c>
      <c r="P5" s="7" t="n">
        <v>1316000</v>
      </c>
      <c r="Q5" s="7">
        <f>O5+P5</f>
        <v/>
      </c>
      <c r="R5" s="5" t="n">
        <v>4.8</v>
      </c>
      <c r="S5" s="6" t="inlineStr">
        <is>
          <t>Selesai</t>
        </is>
      </c>
      <c r="T5" s="6" t="inlineStr">
        <is>
          <t>Inspeksi berkala 10.000 km</t>
        </is>
      </c>
    </row>
    <row r="6">
      <c r="A6" s="2" t="n">
        <v>5</v>
      </c>
      <c r="B6" s="3" t="inlineStr">
        <is>
          <t>MTO-202407-0005</t>
        </is>
      </c>
      <c r="C6" s="2" t="inlineStr">
        <is>
          <t>2024-07-08</t>
        </is>
      </c>
      <c r="D6" s="3" t="inlineStr">
        <is>
          <t>Nasmoco Semarang Pemuda</t>
        </is>
      </c>
      <c r="E6" s="3" t="inlineStr">
        <is>
          <t>Semarang</t>
        </is>
      </c>
      <c r="F6" s="3" t="inlineStr">
        <is>
          <t>Jawa Tengah</t>
        </is>
      </c>
      <c r="G6" s="3" t="inlineStr">
        <is>
          <t>Servis AC Mobil</t>
        </is>
      </c>
      <c r="H6" s="2" t="inlineStr">
        <is>
          <t>AC</t>
        </is>
      </c>
      <c r="I6" s="3" t="inlineStr">
        <is>
          <t>Dwi Rahmadi</t>
        </is>
      </c>
      <c r="J6" s="3" t="inlineStr">
        <is>
          <t>ATC Level 2</t>
        </is>
      </c>
      <c r="K6" s="3" t="inlineStr">
        <is>
          <t>Suzuki</t>
        </is>
      </c>
      <c r="L6" s="3" t="inlineStr">
        <is>
          <t>Ertiga</t>
        </is>
      </c>
      <c r="M6" s="2" t="n">
        <v>2018</v>
      </c>
      <c r="N6" s="2" t="n">
        <v>5.3</v>
      </c>
      <c r="O6" s="4" t="n">
        <v>539000</v>
      </c>
      <c r="P6" s="4" t="n">
        <v>619000</v>
      </c>
      <c r="Q6" s="4">
        <f>O6+P6</f>
        <v/>
      </c>
      <c r="R6" s="2" t="n">
        <v>4.2</v>
      </c>
      <c r="S6" s="3" t="inlineStr">
        <is>
          <t>Selesai</t>
        </is>
      </c>
      <c r="T6" s="3" t="inlineStr">
        <is>
          <t>Penggantian komponen aus</t>
        </is>
      </c>
    </row>
    <row r="7">
      <c r="A7" s="5" t="n">
        <v>6</v>
      </c>
      <c r="B7" s="6" t="inlineStr">
        <is>
          <t>MTO-202412-0006</t>
        </is>
      </c>
      <c r="C7" s="5" t="inlineStr">
        <is>
          <t>2024-12-16</t>
        </is>
      </c>
      <c r="D7" s="6" t="inlineStr">
        <is>
          <t>Mitsubishi Medan Gatsu</t>
        </is>
      </c>
      <c r="E7" s="6" t="inlineStr">
        <is>
          <t>Medan</t>
        </is>
      </c>
      <c r="F7" s="6" t="inlineStr">
        <is>
          <t>Sumatera Utara</t>
        </is>
      </c>
      <c r="G7" s="6" t="inlineStr">
        <is>
          <t>Pemeriksaan Kelistrikan</t>
        </is>
      </c>
      <c r="H7" s="5" t="inlineStr">
        <is>
          <t>Non-AC</t>
        </is>
      </c>
      <c r="I7" s="6" t="inlineStr">
        <is>
          <t>Eko Prasetyo</t>
        </is>
      </c>
      <c r="J7" s="6" t="inlineStr">
        <is>
          <t>ATC Level 1</t>
        </is>
      </c>
      <c r="K7" s="6" t="inlineStr">
        <is>
          <t>Honda</t>
        </is>
      </c>
      <c r="L7" s="6" t="inlineStr">
        <is>
          <t>Mobilio</t>
        </is>
      </c>
      <c r="M7" s="5" t="n">
        <v>2017</v>
      </c>
      <c r="N7" s="5" t="n">
        <v>3.4</v>
      </c>
      <c r="O7" s="7" t="n">
        <v>400000</v>
      </c>
      <c r="P7" s="7" t="n">
        <v>384000</v>
      </c>
      <c r="Q7" s="7">
        <f>O7+P7</f>
        <v/>
      </c>
      <c r="R7" s="5" t="n">
        <v>4.2</v>
      </c>
      <c r="S7" s="6" t="inlineStr">
        <is>
          <t>Selesai</t>
        </is>
      </c>
      <c r="T7" s="6" t="inlineStr">
        <is>
          <t>Inspeksi berkala 10.000 km</t>
        </is>
      </c>
    </row>
    <row r="8">
      <c r="A8" s="2" t="n">
        <v>7</v>
      </c>
      <c r="B8" s="3" t="inlineStr">
        <is>
          <t>MTO-202404-0007</t>
        </is>
      </c>
      <c r="C8" s="2" t="inlineStr">
        <is>
          <t>2024-04-18</t>
        </is>
      </c>
      <c r="D8" s="3" t="inlineStr">
        <is>
          <t>Mitsubishi Medan Gatsu</t>
        </is>
      </c>
      <c r="E8" s="3" t="inlineStr">
        <is>
          <t>Medan</t>
        </is>
      </c>
      <c r="F8" s="3" t="inlineStr">
        <is>
          <t>Sumatera Utara</t>
        </is>
      </c>
      <c r="G8" s="3" t="inlineStr">
        <is>
          <t>Servis AC Mobil</t>
        </is>
      </c>
      <c r="H8" s="2" t="inlineStr">
        <is>
          <t>AC</t>
        </is>
      </c>
      <c r="I8" s="3" t="inlineStr">
        <is>
          <t>Dwi Rahmadi</t>
        </is>
      </c>
      <c r="J8" s="3" t="inlineStr">
        <is>
          <t>ATC Level 2</t>
        </is>
      </c>
      <c r="K8" s="3" t="inlineStr">
        <is>
          <t>Toyota</t>
        </is>
      </c>
      <c r="L8" s="3" t="inlineStr">
        <is>
          <t>Fortuner</t>
        </is>
      </c>
      <c r="M8" s="2" t="n">
        <v>2021</v>
      </c>
      <c r="N8" s="2" t="n">
        <v>2</v>
      </c>
      <c r="O8" s="4" t="n">
        <v>366000</v>
      </c>
      <c r="P8" s="4" t="n">
        <v>1920000</v>
      </c>
      <c r="Q8" s="4">
        <f>O8+P8</f>
        <v/>
      </c>
      <c r="R8" s="2" t="n">
        <v>4.9</v>
      </c>
      <c r="S8" s="3" t="inlineStr">
        <is>
          <t>Selesai</t>
        </is>
      </c>
      <c r="T8" s="3" t="inlineStr">
        <is>
          <t>Tindak lanjut servis sebelumnya</t>
        </is>
      </c>
    </row>
    <row r="9">
      <c r="A9" s="5" t="n">
        <v>8</v>
      </c>
      <c r="B9" s="6" t="inlineStr">
        <is>
          <t>MTO-202407-0008</t>
        </is>
      </c>
      <c r="C9" s="5" t="inlineStr">
        <is>
          <t>2024-07-04</t>
        </is>
      </c>
      <c r="D9" s="6" t="inlineStr">
        <is>
          <t>Auto2000 Tangerang Selatan</t>
        </is>
      </c>
      <c r="E9" s="6" t="inlineStr">
        <is>
          <t>Tangerang Selatan</t>
        </is>
      </c>
      <c r="F9" s="6" t="inlineStr">
        <is>
          <t>Banten</t>
        </is>
      </c>
      <c r="G9" s="6" t="inlineStr">
        <is>
          <t>Pembersihan Evaporator</t>
        </is>
      </c>
      <c r="H9" s="5" t="inlineStr">
        <is>
          <t>AC</t>
        </is>
      </c>
      <c r="I9" s="6" t="inlineStr">
        <is>
          <t>Gunawan Hadi</t>
        </is>
      </c>
      <c r="J9" s="6" t="inlineStr">
        <is>
          <t>ATC Level 3</t>
        </is>
      </c>
      <c r="K9" s="6" t="inlineStr">
        <is>
          <t>Hyundai</t>
        </is>
      </c>
      <c r="L9" s="6" t="inlineStr">
        <is>
          <t>Ioniq 5</t>
        </is>
      </c>
      <c r="M9" s="5" t="n">
        <v>2019</v>
      </c>
      <c r="N9" s="5" t="n">
        <v>1.3</v>
      </c>
      <c r="O9" s="7" t="n">
        <v>724000</v>
      </c>
      <c r="P9" s="7" t="n">
        <v>1153000</v>
      </c>
      <c r="Q9" s="7">
        <f>O9+P9</f>
        <v/>
      </c>
      <c r="R9" s="5" t="n">
        <v>3.9</v>
      </c>
      <c r="S9" s="6" t="inlineStr">
        <is>
          <t>Dalam Proses</t>
        </is>
      </c>
      <c r="T9" s="6" t="inlineStr">
        <is>
          <t>Garansi komponen baru</t>
        </is>
      </c>
    </row>
    <row r="10">
      <c r="A10" s="2" t="n">
        <v>9</v>
      </c>
      <c r="B10" s="3" t="inlineStr">
        <is>
          <t>MTO-202407-0009</t>
        </is>
      </c>
      <c r="C10" s="2" t="inlineStr">
        <is>
          <t>2024-07-16</t>
        </is>
      </c>
      <c r="D10" s="3" t="inlineStr">
        <is>
          <t>Honda Surabaya Center</t>
        </is>
      </c>
      <c r="E10" s="3" t="inlineStr">
        <is>
          <t>Surabaya</t>
        </is>
      </c>
      <c r="F10" s="3" t="inlineStr">
        <is>
          <t>Jawa Timur</t>
        </is>
      </c>
      <c r="G10" s="3" t="inlineStr">
        <is>
          <t>Ganti Oli &amp; Filter</t>
        </is>
      </c>
      <c r="H10" s="2" t="inlineStr">
        <is>
          <t>AC</t>
        </is>
      </c>
      <c r="I10" s="3" t="inlineStr">
        <is>
          <t>Irfan Maulana</t>
        </is>
      </c>
      <c r="J10" s="3" t="inlineStr">
        <is>
          <t>ATC Level 2</t>
        </is>
      </c>
      <c r="K10" s="3" t="inlineStr">
        <is>
          <t>Hyundai</t>
        </is>
      </c>
      <c r="L10" s="3" t="inlineStr">
        <is>
          <t>Creta</t>
        </is>
      </c>
      <c r="M10" s="2" t="n">
        <v>2015</v>
      </c>
      <c r="N10" s="2" t="n">
        <v>5.2</v>
      </c>
      <c r="O10" s="4" t="n">
        <v>306000</v>
      </c>
      <c r="P10" s="4" t="n">
        <v>1335000</v>
      </c>
      <c r="Q10" s="4">
        <f>O10+P10</f>
        <v/>
      </c>
      <c r="R10" s="2" t="n">
        <v>3.7</v>
      </c>
      <c r="S10" s="3" t="inlineStr">
        <is>
          <t>Selesai</t>
        </is>
      </c>
      <c r="T10" s="3" t="inlineStr">
        <is>
          <t>Keluhan pelanggan - AC kurang dingin</t>
        </is>
      </c>
    </row>
    <row r="11">
      <c r="A11" s="5" t="n">
        <v>10</v>
      </c>
      <c r="B11" s="6" t="inlineStr">
        <is>
          <t>MTO-202402-0010</t>
        </is>
      </c>
      <c r="C11" s="5" t="inlineStr">
        <is>
          <t>2024-02-27</t>
        </is>
      </c>
      <c r="D11" s="6" t="inlineStr">
        <is>
          <t>Nissan Makassar Urip</t>
        </is>
      </c>
      <c r="E11" s="6" t="inlineStr">
        <is>
          <t>Makassar</t>
        </is>
      </c>
      <c r="F11" s="6" t="inlineStr">
        <is>
          <t>Sulawesi Selatan</t>
        </is>
      </c>
      <c r="G11" s="6" t="inlineStr">
        <is>
          <t>Pembersihan Evaporator</t>
        </is>
      </c>
      <c r="H11" s="5" t="inlineStr">
        <is>
          <t>AC</t>
        </is>
      </c>
      <c r="I11" s="6" t="inlineStr">
        <is>
          <t>Irfan Maulana</t>
        </is>
      </c>
      <c r="J11" s="6" t="inlineStr">
        <is>
          <t>ATC Level 2</t>
        </is>
      </c>
      <c r="K11" s="6" t="inlineStr">
        <is>
          <t>Suzuki</t>
        </is>
      </c>
      <c r="L11" s="6" t="inlineStr">
        <is>
          <t>Carry</t>
        </is>
      </c>
      <c r="M11" s="5" t="n">
        <v>2015</v>
      </c>
      <c r="N11" s="5" t="n">
        <v>4.2</v>
      </c>
      <c r="O11" s="7" t="n">
        <v>267000</v>
      </c>
      <c r="P11" s="7" t="n">
        <v>1446000</v>
      </c>
      <c r="Q11" s="7">
        <f>O11+P11</f>
        <v/>
      </c>
      <c r="R11" s="5" t="n">
        <v>4.8</v>
      </c>
      <c r="S11" s="6" t="inlineStr">
        <is>
          <t>Selesai</t>
        </is>
      </c>
      <c r="T11" s="6" t="inlineStr">
        <is>
          <t>Tindak lanjut servis sebelumnya</t>
        </is>
      </c>
    </row>
    <row r="12">
      <c r="A12" s="2" t="n">
        <v>11</v>
      </c>
      <c r="B12" s="3" t="inlineStr">
        <is>
          <t>MTO-202503-0011</t>
        </is>
      </c>
      <c r="C12" s="2" t="inlineStr">
        <is>
          <t>2025-03-06</t>
        </is>
      </c>
      <c r="D12" s="3" t="inlineStr">
        <is>
          <t>Toyota Yogyakarta Magelang</t>
        </is>
      </c>
      <c r="E12" s="3" t="inlineStr">
        <is>
          <t>Yogyakarta</t>
        </is>
      </c>
      <c r="F12" s="3" t="inlineStr">
        <is>
          <t>DI Yogyakarta</t>
        </is>
      </c>
      <c r="G12" s="3" t="inlineStr">
        <is>
          <t>Overhaul AC</t>
        </is>
      </c>
      <c r="H12" s="2" t="inlineStr">
        <is>
          <t>AC</t>
        </is>
      </c>
      <c r="I12" s="3" t="inlineStr">
        <is>
          <t>Cahyo Purnomo</t>
        </is>
      </c>
      <c r="J12" s="3" t="inlineStr">
        <is>
          <t>ATC Level 3</t>
        </is>
      </c>
      <c r="K12" s="3" t="inlineStr">
        <is>
          <t>Hyundai</t>
        </is>
      </c>
      <c r="L12" s="3" t="inlineStr">
        <is>
          <t>Creta</t>
        </is>
      </c>
      <c r="M12" s="2" t="n">
        <v>2019</v>
      </c>
      <c r="N12" s="2" t="n">
        <v>5.8</v>
      </c>
      <c r="O12" s="4" t="n">
        <v>332000</v>
      </c>
      <c r="P12" s="4" t="n">
        <v>1089000</v>
      </c>
      <c r="Q12" s="4">
        <f>O12+P12</f>
        <v/>
      </c>
      <c r="R12" s="2" t="n">
        <v>4.9</v>
      </c>
      <c r="S12" s="3" t="inlineStr">
        <is>
          <t>Selesai</t>
        </is>
      </c>
      <c r="T12" s="3" t="inlineStr">
        <is>
          <t>Servis darurat - kendaraan mogok</t>
        </is>
      </c>
    </row>
    <row r="13">
      <c r="A13" s="5" t="n">
        <v>12</v>
      </c>
      <c r="B13" s="6" t="inlineStr">
        <is>
          <t>MTO-202409-0012</t>
        </is>
      </c>
      <c r="C13" s="5" t="inlineStr">
        <is>
          <t>2024-09-07</t>
        </is>
      </c>
      <c r="D13" s="6" t="inlineStr">
        <is>
          <t>Auto2000 Tangerang Selatan</t>
        </is>
      </c>
      <c r="E13" s="6" t="inlineStr">
        <is>
          <t>Tangerang Selatan</t>
        </is>
      </c>
      <c r="F13" s="6" t="inlineStr">
        <is>
          <t>Banten</t>
        </is>
      </c>
      <c r="G13" s="6" t="inlineStr">
        <is>
          <t>Servis Transmisi</t>
        </is>
      </c>
      <c r="H13" s="5" t="inlineStr">
        <is>
          <t>Non-AC</t>
        </is>
      </c>
      <c r="I13" s="6" t="inlineStr">
        <is>
          <t>Joko Susilo</t>
        </is>
      </c>
      <c r="J13" s="6" t="inlineStr">
        <is>
          <t>ATC Level 1</t>
        </is>
      </c>
      <c r="K13" s="6" t="inlineStr">
        <is>
          <t>Mitsubishi</t>
        </is>
      </c>
      <c r="L13" s="6" t="inlineStr">
        <is>
          <t>Pajero Sport</t>
        </is>
      </c>
      <c r="M13" s="5" t="n">
        <v>2020</v>
      </c>
      <c r="N13" s="5" t="n">
        <v>4.7</v>
      </c>
      <c r="O13" s="7" t="n">
        <v>702000</v>
      </c>
      <c r="P13" s="7" t="n">
        <v>1644000</v>
      </c>
      <c r="Q13" s="7">
        <f>O13+P13</f>
        <v/>
      </c>
      <c r="R13" s="5" t="n">
        <v>4.9</v>
      </c>
      <c r="S13" s="6" t="inlineStr">
        <is>
          <t>Selesai</t>
        </is>
      </c>
      <c r="T13" s="6" t="inlineStr">
        <is>
          <t>Tindak lanjut servis sebelumnya</t>
        </is>
      </c>
    </row>
    <row r="14">
      <c r="A14" s="2" t="n">
        <v>13</v>
      </c>
      <c r="B14" s="3" t="inlineStr">
        <is>
          <t>MTO-202505-0013</t>
        </is>
      </c>
      <c r="C14" s="2" t="inlineStr">
        <is>
          <t>2025-05-15</t>
        </is>
      </c>
      <c r="D14" s="3" t="inlineStr">
        <is>
          <t>Auto2000 Jakarta Selatan</t>
        </is>
      </c>
      <c r="E14" s="3" t="inlineStr">
        <is>
          <t>Jakarta Selatan</t>
        </is>
      </c>
      <c r="F14" s="3" t="inlineStr">
        <is>
          <t>DKI Jakarta</t>
        </is>
      </c>
      <c r="G14" s="3" t="inlineStr">
        <is>
          <t>Servis Non-AC (Tune Up)</t>
        </is>
      </c>
      <c r="H14" s="2" t="inlineStr">
        <is>
          <t>Non-AC</t>
        </is>
      </c>
      <c r="I14" s="3" t="inlineStr">
        <is>
          <t>Fajar Nugroho</t>
        </is>
      </c>
      <c r="J14" s="3" t="inlineStr">
        <is>
          <t>ATC Level 2</t>
        </is>
      </c>
      <c r="K14" s="3" t="inlineStr">
        <is>
          <t>Suzuki</t>
        </is>
      </c>
      <c r="L14" s="3" t="inlineStr">
        <is>
          <t>XL7</t>
        </is>
      </c>
      <c r="M14" s="2" t="n">
        <v>2015</v>
      </c>
      <c r="N14" s="2" t="n">
        <v>1.8</v>
      </c>
      <c r="O14" s="4" t="n">
        <v>730000</v>
      </c>
      <c r="P14" s="4" t="n">
        <v>1989000</v>
      </c>
      <c r="Q14" s="4">
        <f>O14+P14</f>
        <v/>
      </c>
      <c r="R14" s="2" t="n">
        <v>3.6</v>
      </c>
      <c r="S14" s="3" t="inlineStr">
        <is>
          <t>Selesai</t>
        </is>
      </c>
      <c r="T14" s="3" t="inlineStr">
        <is>
          <t>Keluhan pelanggan - AC kurang dingin</t>
        </is>
      </c>
    </row>
    <row r="15">
      <c r="A15" s="5" t="n">
        <v>14</v>
      </c>
      <c r="B15" s="6" t="inlineStr">
        <is>
          <t>MTO-202412-0014</t>
        </is>
      </c>
      <c r="C15" s="5" t="inlineStr">
        <is>
          <t>2024-12-31</t>
        </is>
      </c>
      <c r="D15" s="6" t="inlineStr">
        <is>
          <t>Toyota Depok Margonda</t>
        </is>
      </c>
      <c r="E15" s="6" t="inlineStr">
        <is>
          <t>Depok</t>
        </is>
      </c>
      <c r="F15" s="6" t="inlineStr">
        <is>
          <t>Jawa Barat</t>
        </is>
      </c>
      <c r="G15" s="6" t="inlineStr">
        <is>
          <t>Servis Transmisi</t>
        </is>
      </c>
      <c r="H15" s="5" t="inlineStr">
        <is>
          <t>Non-AC</t>
        </is>
      </c>
      <c r="I15" s="6" t="inlineStr">
        <is>
          <t>Cahyo Purnomo</t>
        </is>
      </c>
      <c r="J15" s="6" t="inlineStr">
        <is>
          <t>ATC Level 3</t>
        </is>
      </c>
      <c r="K15" s="6" t="inlineStr">
        <is>
          <t>Daihatsu</t>
        </is>
      </c>
      <c r="L15" s="6" t="inlineStr">
        <is>
          <t>Xenia</t>
        </is>
      </c>
      <c r="M15" s="5" t="n">
        <v>2023</v>
      </c>
      <c r="N15" s="5" t="n">
        <v>1.4</v>
      </c>
      <c r="O15" s="7" t="n">
        <v>690000</v>
      </c>
      <c r="P15" s="7" t="n">
        <v>1836000</v>
      </c>
      <c r="Q15" s="7">
        <f>O15+P15</f>
        <v/>
      </c>
      <c r="R15" s="5" t="n">
        <v>4.4</v>
      </c>
      <c r="S15" s="6" t="inlineStr">
        <is>
          <t>Pending</t>
        </is>
      </c>
      <c r="T15" s="6" t="inlineStr">
        <is>
          <t>Inspeksi berkala 10.000 km</t>
        </is>
      </c>
    </row>
    <row r="16">
      <c r="A16" s="2" t="n">
        <v>15</v>
      </c>
      <c r="B16" s="3" t="inlineStr">
        <is>
          <t>MTO-202401-0015</t>
        </is>
      </c>
      <c r="C16" s="2" t="inlineStr">
        <is>
          <t>2024-01-04</t>
        </is>
      </c>
      <c r="D16" s="3" t="inlineStr">
        <is>
          <t>Toyota Yogyakarta Magelang</t>
        </is>
      </c>
      <c r="E16" s="3" t="inlineStr">
        <is>
          <t>Yogyakarta</t>
        </is>
      </c>
      <c r="F16" s="3" t="inlineStr">
        <is>
          <t>DI Yogyakarta</t>
        </is>
      </c>
      <c r="G16" s="3" t="inlineStr">
        <is>
          <t>Overhaul AC</t>
        </is>
      </c>
      <c r="H16" s="2" t="inlineStr">
        <is>
          <t>AC</t>
        </is>
      </c>
      <c r="I16" s="3" t="inlineStr">
        <is>
          <t>Fajar Nugroho</t>
        </is>
      </c>
      <c r="J16" s="3" t="inlineStr">
        <is>
          <t>ATC Level 2</t>
        </is>
      </c>
      <c r="K16" s="3" t="inlineStr">
        <is>
          <t>Hyundai</t>
        </is>
      </c>
      <c r="L16" s="3" t="inlineStr">
        <is>
          <t>Santa Fe</t>
        </is>
      </c>
      <c r="M16" s="2" t="n">
        <v>2016</v>
      </c>
      <c r="N16" s="2" t="n">
        <v>1.9</v>
      </c>
      <c r="O16" s="4" t="n">
        <v>215000</v>
      </c>
      <c r="P16" s="4" t="n">
        <v>742000</v>
      </c>
      <c r="Q16" s="4">
        <f>O16+P16</f>
        <v/>
      </c>
      <c r="R16" s="2" t="n">
        <v>3.5</v>
      </c>
      <c r="S16" s="3" t="inlineStr">
        <is>
          <t>Selesai</t>
        </is>
      </c>
      <c r="T16" s="3" t="inlineStr">
        <is>
          <t>Inspeksi berkala 10.000 km</t>
        </is>
      </c>
    </row>
    <row r="17">
      <c r="A17" s="5" t="n">
        <v>16</v>
      </c>
      <c r="B17" s="6" t="inlineStr">
        <is>
          <t>MTO-202501-0016</t>
        </is>
      </c>
      <c r="C17" s="5" t="inlineStr">
        <is>
          <t>2025-01-05</t>
        </is>
      </c>
      <c r="D17" s="6" t="inlineStr">
        <is>
          <t>Nasmoco Semarang Pemuda</t>
        </is>
      </c>
      <c r="E17" s="6" t="inlineStr">
        <is>
          <t>Semarang</t>
        </is>
      </c>
      <c r="F17" s="6" t="inlineStr">
        <is>
          <t>Jawa Tengah</t>
        </is>
      </c>
      <c r="G17" s="6" t="inlineStr">
        <is>
          <t>Servis AC Mobil</t>
        </is>
      </c>
      <c r="H17" s="5" t="inlineStr">
        <is>
          <t>AC</t>
        </is>
      </c>
      <c r="I17" s="6" t="inlineStr">
        <is>
          <t>Dwi Rahmadi</t>
        </is>
      </c>
      <c r="J17" s="6" t="inlineStr">
        <is>
          <t>ATC Level 2</t>
        </is>
      </c>
      <c r="K17" s="6" t="inlineStr">
        <is>
          <t>Honda</t>
        </is>
      </c>
      <c r="L17" s="6" t="inlineStr">
        <is>
          <t>Brio</t>
        </is>
      </c>
      <c r="M17" s="5" t="n">
        <v>2020</v>
      </c>
      <c r="N17" s="5" t="n">
        <v>0.9</v>
      </c>
      <c r="O17" s="7" t="n">
        <v>393000</v>
      </c>
      <c r="P17" s="7" t="n">
        <v>620000</v>
      </c>
      <c r="Q17" s="7">
        <f>O17+P17</f>
        <v/>
      </c>
      <c r="R17" s="5" t="n">
        <v>4.5</v>
      </c>
      <c r="S17" s="6" t="inlineStr">
        <is>
          <t>Selesai</t>
        </is>
      </c>
      <c r="T17" s="6" t="inlineStr">
        <is>
          <t>Penggantian komponen aus</t>
        </is>
      </c>
    </row>
    <row r="18">
      <c r="A18" s="2" t="n">
        <v>17</v>
      </c>
      <c r="B18" s="3" t="inlineStr">
        <is>
          <t>MTO-202412-0017</t>
        </is>
      </c>
      <c r="C18" s="2" t="inlineStr">
        <is>
          <t>2024-12-10</t>
        </is>
      </c>
      <c r="D18" s="3" t="inlineStr">
        <is>
          <t>Suzuki Pekanbaru Ahmad Yani</t>
        </is>
      </c>
      <c r="E18" s="3" t="inlineStr">
        <is>
          <t>Pekanbaru</t>
        </is>
      </c>
      <c r="F18" s="3" t="inlineStr">
        <is>
          <t>Riau</t>
        </is>
      </c>
      <c r="G18" s="3" t="inlineStr">
        <is>
          <t>Pembersihan Evaporator</t>
        </is>
      </c>
      <c r="H18" s="2" t="inlineStr">
        <is>
          <t>AC</t>
        </is>
      </c>
      <c r="I18" s="3" t="inlineStr">
        <is>
          <t>Dwi Rahmadi</t>
        </is>
      </c>
      <c r="J18" s="3" t="inlineStr">
        <is>
          <t>ATC Level 2</t>
        </is>
      </c>
      <c r="K18" s="3" t="inlineStr">
        <is>
          <t>Hyundai</t>
        </is>
      </c>
      <c r="L18" s="3" t="inlineStr">
        <is>
          <t>Santa Fe</t>
        </is>
      </c>
      <c r="M18" s="2" t="n">
        <v>2018</v>
      </c>
      <c r="N18" s="2" t="n">
        <v>1</v>
      </c>
      <c r="O18" s="4" t="n">
        <v>824000</v>
      </c>
      <c r="P18" s="4" t="n">
        <v>932000</v>
      </c>
      <c r="Q18" s="4">
        <f>O18+P18</f>
        <v/>
      </c>
      <c r="R18" s="2" t="n">
        <v>4</v>
      </c>
      <c r="S18" s="3" t="inlineStr">
        <is>
          <t>Selesai</t>
        </is>
      </c>
      <c r="T18" s="3" t="inlineStr">
        <is>
          <t>Servis rutin terjadwal</t>
        </is>
      </c>
    </row>
    <row r="19">
      <c r="A19" s="5" t="n">
        <v>18</v>
      </c>
      <c r="B19" s="6" t="inlineStr">
        <is>
          <t>MTO-202408-0018</t>
        </is>
      </c>
      <c r="C19" s="5" t="inlineStr">
        <is>
          <t>2024-08-24</t>
        </is>
      </c>
      <c r="D19" s="6" t="inlineStr">
        <is>
          <t>Auto2000 Tangerang Selatan</t>
        </is>
      </c>
      <c r="E19" s="6" t="inlineStr">
        <is>
          <t>Tangerang Selatan</t>
        </is>
      </c>
      <c r="F19" s="6" t="inlineStr">
        <is>
          <t>Banten</t>
        </is>
      </c>
      <c r="G19" s="6" t="inlineStr">
        <is>
          <t>Servis Non-AC (Tune Up)</t>
        </is>
      </c>
      <c r="H19" s="5" t="inlineStr">
        <is>
          <t>Non-AC</t>
        </is>
      </c>
      <c r="I19" s="6" t="inlineStr">
        <is>
          <t>Ahmad Fauzi</t>
        </is>
      </c>
      <c r="J19" s="6" t="inlineStr">
        <is>
          <t>ATC Level 2</t>
        </is>
      </c>
      <c r="K19" s="6" t="inlineStr">
        <is>
          <t>Wuling</t>
        </is>
      </c>
      <c r="L19" s="6" t="inlineStr">
        <is>
          <t>Confero</t>
        </is>
      </c>
      <c r="M19" s="5" t="n">
        <v>2016</v>
      </c>
      <c r="N19" s="5" t="n">
        <v>1.9</v>
      </c>
      <c r="O19" s="7" t="n">
        <v>344000</v>
      </c>
      <c r="P19" s="7" t="n">
        <v>1148000</v>
      </c>
      <c r="Q19" s="7">
        <f>O19+P19</f>
        <v/>
      </c>
      <c r="R19" s="5" t="n">
        <v>4.2</v>
      </c>
      <c r="S19" s="6" t="inlineStr">
        <is>
          <t>Selesai</t>
        </is>
      </c>
      <c r="T19" s="6" t="inlineStr">
        <is>
          <t>Servis darurat - kendaraan mogok</t>
        </is>
      </c>
    </row>
    <row r="20">
      <c r="A20" s="2" t="n">
        <v>19</v>
      </c>
      <c r="B20" s="3" t="inlineStr">
        <is>
          <t>MTO-202409-0019</t>
        </is>
      </c>
      <c r="C20" s="2" t="inlineStr">
        <is>
          <t>2024-09-05</t>
        </is>
      </c>
      <c r="D20" s="3" t="inlineStr">
        <is>
          <t>Honda Surabaya Center</t>
        </is>
      </c>
      <c r="E20" s="3" t="inlineStr">
        <is>
          <t>Surabaya</t>
        </is>
      </c>
      <c r="F20" s="3" t="inlineStr">
        <is>
          <t>Jawa Timur</t>
        </is>
      </c>
      <c r="G20" s="3" t="inlineStr">
        <is>
          <t>Servis Non-AC (Tune Up)</t>
        </is>
      </c>
      <c r="H20" s="2" t="inlineStr">
        <is>
          <t>Non-AC</t>
        </is>
      </c>
      <c r="I20" s="3" t="inlineStr">
        <is>
          <t>Hendra Wijaya</t>
        </is>
      </c>
      <c r="J20" s="3" t="inlineStr">
        <is>
          <t>ATC Level 1</t>
        </is>
      </c>
      <c r="K20" s="3" t="inlineStr">
        <is>
          <t>Honda</t>
        </is>
      </c>
      <c r="L20" s="3" t="inlineStr">
        <is>
          <t>Brio</t>
        </is>
      </c>
      <c r="M20" s="2" t="n">
        <v>2023</v>
      </c>
      <c r="N20" s="2" t="n">
        <v>5.1</v>
      </c>
      <c r="O20" s="4" t="n">
        <v>245000</v>
      </c>
      <c r="P20" s="4" t="n">
        <v>1947000</v>
      </c>
      <c r="Q20" s="4">
        <f>O20+P20</f>
        <v/>
      </c>
      <c r="R20" s="2" t="n">
        <v>4.6</v>
      </c>
      <c r="S20" s="3" t="inlineStr">
        <is>
          <t>Selesai</t>
        </is>
      </c>
      <c r="T20" s="3" t="inlineStr">
        <is>
          <t>Garansi komponen baru</t>
        </is>
      </c>
    </row>
    <row r="21">
      <c r="A21" s="5" t="n">
        <v>20</v>
      </c>
      <c r="B21" s="6" t="inlineStr">
        <is>
          <t>MTO-202408-0020</t>
        </is>
      </c>
      <c r="C21" s="5" t="inlineStr">
        <is>
          <t>2024-08-04</t>
        </is>
      </c>
      <c r="D21" s="6" t="inlineStr">
        <is>
          <t>Suzuki Palembang Demang</t>
        </is>
      </c>
      <c r="E21" s="6" t="inlineStr">
        <is>
          <t>Palembang</t>
        </is>
      </c>
      <c r="F21" s="6" t="inlineStr">
        <is>
          <t>Sumatera Selatan</t>
        </is>
      </c>
      <c r="G21" s="6" t="inlineStr">
        <is>
          <t>Pemeriksaan Kelistrikan</t>
        </is>
      </c>
      <c r="H21" s="5" t="inlineStr">
        <is>
          <t>Non-AC</t>
        </is>
      </c>
      <c r="I21" s="6" t="inlineStr">
        <is>
          <t>Gunawan Hadi</t>
        </is>
      </c>
      <c r="J21" s="6" t="inlineStr">
        <is>
          <t>ATC Level 3</t>
        </is>
      </c>
      <c r="K21" s="6" t="inlineStr">
        <is>
          <t>Toyota</t>
        </is>
      </c>
      <c r="L21" s="6" t="inlineStr">
        <is>
          <t>Innova</t>
        </is>
      </c>
      <c r="M21" s="5" t="n">
        <v>2021</v>
      </c>
      <c r="N21" s="5" t="n">
        <v>0.5</v>
      </c>
      <c r="O21" s="7" t="n">
        <v>549000</v>
      </c>
      <c r="P21" s="7" t="n">
        <v>593000</v>
      </c>
      <c r="Q21" s="7">
        <f>O21+P21</f>
        <v/>
      </c>
      <c r="R21" s="5" t="n">
        <v>4.9</v>
      </c>
      <c r="S21" s="6" t="inlineStr">
        <is>
          <t>Selesai</t>
        </is>
      </c>
      <c r="T21" s="6" t="inlineStr">
        <is>
          <t>Servis darurat - kendaraan mogok</t>
        </is>
      </c>
    </row>
    <row r="22">
      <c r="A22" s="2" t="n">
        <v>21</v>
      </c>
      <c r="B22" s="3" t="inlineStr">
        <is>
          <t>MTO-202401-0021</t>
        </is>
      </c>
      <c r="C22" s="2" t="inlineStr">
        <is>
          <t>2024-01-30</t>
        </is>
      </c>
      <c r="D22" s="3" t="inlineStr">
        <is>
          <t>Honda Bekasi Galaxy</t>
        </is>
      </c>
      <c r="E22" s="3" t="inlineStr">
        <is>
          <t>Bekasi</t>
        </is>
      </c>
      <c r="F22" s="3" t="inlineStr">
        <is>
          <t>Jawa Barat</t>
        </is>
      </c>
      <c r="G22" s="3" t="inlineStr">
        <is>
          <t>Servis Transmisi</t>
        </is>
      </c>
      <c r="H22" s="2" t="inlineStr">
        <is>
          <t>Non-AC</t>
        </is>
      </c>
      <c r="I22" s="3" t="inlineStr">
        <is>
          <t>Hendra Wijaya</t>
        </is>
      </c>
      <c r="J22" s="3" t="inlineStr">
        <is>
          <t>ATC Level 1</t>
        </is>
      </c>
      <c r="K22" s="3" t="inlineStr">
        <is>
          <t>Daihatsu</t>
        </is>
      </c>
      <c r="L22" s="3" t="inlineStr">
        <is>
          <t>Sigra</t>
        </is>
      </c>
      <c r="M22" s="2" t="n">
        <v>2019</v>
      </c>
      <c r="N22" s="2" t="n">
        <v>1.7</v>
      </c>
      <c r="O22" s="4" t="n">
        <v>209000</v>
      </c>
      <c r="P22" s="4" t="n">
        <v>1236000</v>
      </c>
      <c r="Q22" s="4">
        <f>O22+P22</f>
        <v/>
      </c>
      <c r="R22" s="2" t="n">
        <v>4.6</v>
      </c>
      <c r="S22" s="3" t="inlineStr">
        <is>
          <t>Selesai</t>
        </is>
      </c>
      <c r="T22" s="3" t="inlineStr">
        <is>
          <t>Tindak lanjut servis sebelumnya</t>
        </is>
      </c>
    </row>
    <row r="23">
      <c r="A23" s="5" t="n">
        <v>22</v>
      </c>
      <c r="B23" s="6" t="inlineStr">
        <is>
          <t>MTO-202407-0022</t>
        </is>
      </c>
      <c r="C23" s="5" t="inlineStr">
        <is>
          <t>2024-07-25</t>
        </is>
      </c>
      <c r="D23" s="6" t="inlineStr">
        <is>
          <t>Auto2000 Jakarta Selatan</t>
        </is>
      </c>
      <c r="E23" s="6" t="inlineStr">
        <is>
          <t>Jakarta Selatan</t>
        </is>
      </c>
      <c r="F23" s="6" t="inlineStr">
        <is>
          <t>DKI Jakarta</t>
        </is>
      </c>
      <c r="G23" s="6" t="inlineStr">
        <is>
          <t>Pembersihan Evaporator</t>
        </is>
      </c>
      <c r="H23" s="5" t="inlineStr">
        <is>
          <t>AC</t>
        </is>
      </c>
      <c r="I23" s="6" t="inlineStr">
        <is>
          <t>Irfan Maulana</t>
        </is>
      </c>
      <c r="J23" s="6" t="inlineStr">
        <is>
          <t>ATC Level 2</t>
        </is>
      </c>
      <c r="K23" s="6" t="inlineStr">
        <is>
          <t>Daihatsu</t>
        </is>
      </c>
      <c r="L23" s="6" t="inlineStr">
        <is>
          <t>Ayla</t>
        </is>
      </c>
      <c r="M23" s="5" t="n">
        <v>2023</v>
      </c>
      <c r="N23" s="5" t="n">
        <v>0.9</v>
      </c>
      <c r="O23" s="7" t="n">
        <v>340000</v>
      </c>
      <c r="P23" s="7" t="n">
        <v>190000</v>
      </c>
      <c r="Q23" s="7">
        <f>O23+P23</f>
        <v/>
      </c>
      <c r="R23" s="5" t="n">
        <v>4.4</v>
      </c>
      <c r="S23" s="6" t="inlineStr">
        <is>
          <t>Selesai</t>
        </is>
      </c>
      <c r="T23" s="6" t="inlineStr">
        <is>
          <t>Inspeksi berkala 10.000 km</t>
        </is>
      </c>
    </row>
    <row r="24">
      <c r="A24" s="2" t="n">
        <v>23</v>
      </c>
      <c r="B24" s="3" t="inlineStr">
        <is>
          <t>MTO-202412-0023</t>
        </is>
      </c>
      <c r="C24" s="2" t="inlineStr">
        <is>
          <t>2024-12-08</t>
        </is>
      </c>
      <c r="D24" s="3" t="inlineStr">
        <is>
          <t>Nasmoco Semarang Pemuda</t>
        </is>
      </c>
      <c r="E24" s="3" t="inlineStr">
        <is>
          <t>Semarang</t>
        </is>
      </c>
      <c r="F24" s="3" t="inlineStr">
        <is>
          <t>Jawa Tengah</t>
        </is>
      </c>
      <c r="G24" s="3" t="inlineStr">
        <is>
          <t>Pemeriksaan Kelistrikan</t>
        </is>
      </c>
      <c r="H24" s="2" t="inlineStr">
        <is>
          <t>Non-AC</t>
        </is>
      </c>
      <c r="I24" s="3" t="inlineStr">
        <is>
          <t>Joko Susilo</t>
        </is>
      </c>
      <c r="J24" s="3" t="inlineStr">
        <is>
          <t>ATC Level 1</t>
        </is>
      </c>
      <c r="K24" s="3" t="inlineStr">
        <is>
          <t>Toyota</t>
        </is>
      </c>
      <c r="L24" s="3" t="inlineStr">
        <is>
          <t>Yaris</t>
        </is>
      </c>
      <c r="M24" s="2" t="n">
        <v>2016</v>
      </c>
      <c r="N24" s="2" t="n">
        <v>2.8</v>
      </c>
      <c r="O24" s="4" t="n">
        <v>747000</v>
      </c>
      <c r="P24" s="4" t="n">
        <v>1207000</v>
      </c>
      <c r="Q24" s="4">
        <f>O24+P24</f>
        <v/>
      </c>
      <c r="R24" s="2" t="n">
        <v>4.3</v>
      </c>
      <c r="S24" s="3" t="inlineStr">
        <is>
          <t>Selesai</t>
        </is>
      </c>
      <c r="T24" s="3" t="inlineStr">
        <is>
          <t>Inspeksi berkala 10.000 km</t>
        </is>
      </c>
    </row>
    <row r="25">
      <c r="A25" s="5" t="n">
        <v>24</v>
      </c>
      <c r="B25" s="6" t="inlineStr">
        <is>
          <t>MTO-202401-0024</t>
        </is>
      </c>
      <c r="C25" s="5" t="inlineStr">
        <is>
          <t>2024-01-05</t>
        </is>
      </c>
      <c r="D25" s="6" t="inlineStr">
        <is>
          <t>Honda Bekasi Galaxy</t>
        </is>
      </c>
      <c r="E25" s="6" t="inlineStr">
        <is>
          <t>Bekasi</t>
        </is>
      </c>
      <c r="F25" s="6" t="inlineStr">
        <is>
          <t>Jawa Barat</t>
        </is>
      </c>
      <c r="G25" s="6" t="inlineStr">
        <is>
          <t>Ganti Freon AC</t>
        </is>
      </c>
      <c r="H25" s="5" t="inlineStr">
        <is>
          <t>AC</t>
        </is>
      </c>
      <c r="I25" s="6" t="inlineStr">
        <is>
          <t>Dwi Rahmadi</t>
        </is>
      </c>
      <c r="J25" s="6" t="inlineStr">
        <is>
          <t>ATC Level 2</t>
        </is>
      </c>
      <c r="K25" s="6" t="inlineStr">
        <is>
          <t>Suzuki</t>
        </is>
      </c>
      <c r="L25" s="6" t="inlineStr">
        <is>
          <t>Baleno</t>
        </is>
      </c>
      <c r="M25" s="5" t="n">
        <v>2017</v>
      </c>
      <c r="N25" s="5" t="n">
        <v>4.2</v>
      </c>
      <c r="O25" s="7" t="n">
        <v>457000</v>
      </c>
      <c r="P25" s="7" t="n">
        <v>986000</v>
      </c>
      <c r="Q25" s="7">
        <f>O25+P25</f>
        <v/>
      </c>
      <c r="R25" s="5" t="n">
        <v>4</v>
      </c>
      <c r="S25" s="6" t="inlineStr">
        <is>
          <t>Selesai</t>
        </is>
      </c>
      <c r="T25" s="6" t="inlineStr">
        <is>
          <t>Keluhan pelanggan - AC kurang dingin</t>
        </is>
      </c>
    </row>
    <row r="26">
      <c r="A26" s="2" t="n">
        <v>25</v>
      </c>
      <c r="B26" s="3" t="inlineStr">
        <is>
          <t>MTO-202503-0025</t>
        </is>
      </c>
      <c r="C26" s="2" t="inlineStr">
        <is>
          <t>2025-03-02</t>
        </is>
      </c>
      <c r="D26" s="3" t="inlineStr">
        <is>
          <t>Suzuki Palembang Demang</t>
        </is>
      </c>
      <c r="E26" s="3" t="inlineStr">
        <is>
          <t>Palembang</t>
        </is>
      </c>
      <c r="F26" s="3" t="inlineStr">
        <is>
          <t>Sumatera Selatan</t>
        </is>
      </c>
      <c r="G26" s="3" t="inlineStr">
        <is>
          <t>Servis Non-AC (Tune Up)</t>
        </is>
      </c>
      <c r="H26" s="2" t="inlineStr">
        <is>
          <t>Non-AC</t>
        </is>
      </c>
      <c r="I26" s="3" t="inlineStr">
        <is>
          <t>Budi Santoso</t>
        </is>
      </c>
      <c r="J26" s="3" t="inlineStr">
        <is>
          <t>ATC Level 1</t>
        </is>
      </c>
      <c r="K26" s="3" t="inlineStr">
        <is>
          <t>Mitsubishi</t>
        </is>
      </c>
      <c r="L26" s="3" t="inlineStr">
        <is>
          <t>L300</t>
        </is>
      </c>
      <c r="M26" s="2" t="n">
        <v>2017</v>
      </c>
      <c r="N26" s="2" t="n">
        <v>5.6</v>
      </c>
      <c r="O26" s="4" t="n">
        <v>220000</v>
      </c>
      <c r="P26" s="4" t="n">
        <v>1850000</v>
      </c>
      <c r="Q26" s="4">
        <f>O26+P26</f>
        <v/>
      </c>
      <c r="R26" s="2" t="n">
        <v>3.9</v>
      </c>
      <c r="S26" s="3" t="inlineStr">
        <is>
          <t>Selesai</t>
        </is>
      </c>
      <c r="T26" s="3" t="inlineStr">
        <is>
          <t>Servis pre-delivery inspection</t>
        </is>
      </c>
    </row>
    <row r="27">
      <c r="A27" s="5" t="n">
        <v>26</v>
      </c>
      <c r="B27" s="6" t="inlineStr">
        <is>
          <t>MTO-202501-0026</t>
        </is>
      </c>
      <c r="C27" s="5" t="inlineStr">
        <is>
          <t>2025-01-15</t>
        </is>
      </c>
      <c r="D27" s="6" t="inlineStr">
        <is>
          <t>Daihatsu Balikpapan Sudirman</t>
        </is>
      </c>
      <c r="E27" s="6" t="inlineStr">
        <is>
          <t>Balikpapan</t>
        </is>
      </c>
      <c r="F27" s="6" t="inlineStr">
        <is>
          <t>Kalimantan Timur</t>
        </is>
      </c>
      <c r="G27" s="6" t="inlineStr">
        <is>
          <t>Servis Rem</t>
        </is>
      </c>
      <c r="H27" s="5" t="inlineStr">
        <is>
          <t>Non-AC</t>
        </is>
      </c>
      <c r="I27" s="6" t="inlineStr">
        <is>
          <t>Joko Susilo</t>
        </is>
      </c>
      <c r="J27" s="6" t="inlineStr">
        <is>
          <t>ATC Level 1</t>
        </is>
      </c>
      <c r="K27" s="6" t="inlineStr">
        <is>
          <t>Toyota</t>
        </is>
      </c>
      <c r="L27" s="6" t="inlineStr">
        <is>
          <t>Yaris</t>
        </is>
      </c>
      <c r="M27" s="5" t="n">
        <v>2019</v>
      </c>
      <c r="N27" s="5" t="n">
        <v>5.6</v>
      </c>
      <c r="O27" s="7" t="n">
        <v>256000</v>
      </c>
      <c r="P27" s="7" t="n">
        <v>1972000</v>
      </c>
      <c r="Q27" s="7">
        <f>O27+P27</f>
        <v/>
      </c>
      <c r="R27" s="5" t="n">
        <v>4.8</v>
      </c>
      <c r="S27" s="6" t="inlineStr">
        <is>
          <t>Selesai</t>
        </is>
      </c>
      <c r="T27" s="6" t="inlineStr">
        <is>
          <t>Keluhan pelanggan - AC kurang dingin</t>
        </is>
      </c>
    </row>
    <row r="28">
      <c r="A28" s="2" t="n">
        <v>27</v>
      </c>
      <c r="B28" s="3" t="inlineStr">
        <is>
          <t>MTO-202405-0027</t>
        </is>
      </c>
      <c r="C28" s="2" t="inlineStr">
        <is>
          <t>2024-05-08</t>
        </is>
      </c>
      <c r="D28" s="3" t="inlineStr">
        <is>
          <t>Daihatsu Balikpapan Sudirman</t>
        </is>
      </c>
      <c r="E28" s="3" t="inlineStr">
        <is>
          <t>Balikpapan</t>
        </is>
      </c>
      <c r="F28" s="3" t="inlineStr">
        <is>
          <t>Kalimantan Timur</t>
        </is>
      </c>
      <c r="G28" s="3" t="inlineStr">
        <is>
          <t>Ganti Oli &amp; Filter</t>
        </is>
      </c>
      <c r="H28" s="2" t="inlineStr">
        <is>
          <t>AC</t>
        </is>
      </c>
      <c r="I28" s="3" t="inlineStr">
        <is>
          <t>Eko Prasetyo</t>
        </is>
      </c>
      <c r="J28" s="3" t="inlineStr">
        <is>
          <t>ATC Level 1</t>
        </is>
      </c>
      <c r="K28" s="3" t="inlineStr">
        <is>
          <t>Suzuki</t>
        </is>
      </c>
      <c r="L28" s="3" t="inlineStr">
        <is>
          <t>Carry</t>
        </is>
      </c>
      <c r="M28" s="2" t="n">
        <v>2018</v>
      </c>
      <c r="N28" s="2" t="n">
        <v>4.4</v>
      </c>
      <c r="O28" s="4" t="n">
        <v>358000</v>
      </c>
      <c r="P28" s="4" t="n">
        <v>1457000</v>
      </c>
      <c r="Q28" s="4">
        <f>O28+P28</f>
        <v/>
      </c>
      <c r="R28" s="2" t="n">
        <v>4.5</v>
      </c>
      <c r="S28" s="3" t="inlineStr">
        <is>
          <t>Selesai</t>
        </is>
      </c>
      <c r="T28" s="3" t="inlineStr">
        <is>
          <t>Servis pre-delivery inspection</t>
        </is>
      </c>
    </row>
    <row r="29">
      <c r="A29" s="5" t="n">
        <v>28</v>
      </c>
      <c r="B29" s="6" t="inlineStr">
        <is>
          <t>MTO-202410-0028</t>
        </is>
      </c>
      <c r="C29" s="5" t="inlineStr">
        <is>
          <t>2024-10-09</t>
        </is>
      </c>
      <c r="D29" s="6" t="inlineStr">
        <is>
          <t>Suzuki Pekanbaru Ahmad Yani</t>
        </is>
      </c>
      <c r="E29" s="6" t="inlineStr">
        <is>
          <t>Pekanbaru</t>
        </is>
      </c>
      <c r="F29" s="6" t="inlineStr">
        <is>
          <t>Riau</t>
        </is>
      </c>
      <c r="G29" s="6" t="inlineStr">
        <is>
          <t>Servis AC Mobil</t>
        </is>
      </c>
      <c r="H29" s="5" t="inlineStr">
        <is>
          <t>AC</t>
        </is>
      </c>
      <c r="I29" s="6" t="inlineStr">
        <is>
          <t>Budi Santoso</t>
        </is>
      </c>
      <c r="J29" s="6" t="inlineStr">
        <is>
          <t>ATC Level 1</t>
        </is>
      </c>
      <c r="K29" s="6" t="inlineStr">
        <is>
          <t>Wuling</t>
        </is>
      </c>
      <c r="L29" s="6" t="inlineStr">
        <is>
          <t>Confero</t>
        </is>
      </c>
      <c r="M29" s="5" t="n">
        <v>2015</v>
      </c>
      <c r="N29" s="5" t="n">
        <v>0.5</v>
      </c>
      <c r="O29" s="7" t="n">
        <v>283000</v>
      </c>
      <c r="P29" s="7" t="n">
        <v>1354000</v>
      </c>
      <c r="Q29" s="7">
        <f>O29+P29</f>
        <v/>
      </c>
      <c r="R29" s="5" t="n">
        <v>5</v>
      </c>
      <c r="S29" s="6" t="inlineStr">
        <is>
          <t>Selesai</t>
        </is>
      </c>
      <c r="T29" s="6" t="inlineStr">
        <is>
          <t>Servis pre-delivery inspection</t>
        </is>
      </c>
    </row>
    <row r="30">
      <c r="A30" s="2" t="n">
        <v>29</v>
      </c>
      <c r="B30" s="3" t="inlineStr">
        <is>
          <t>MTO-202408-0029</t>
        </is>
      </c>
      <c r="C30" s="2" t="inlineStr">
        <is>
          <t>2024-08-08</t>
        </is>
      </c>
      <c r="D30" s="3" t="inlineStr">
        <is>
          <t>Honda Bekasi Galaxy</t>
        </is>
      </c>
      <c r="E30" s="3" t="inlineStr">
        <is>
          <t>Bekasi</t>
        </is>
      </c>
      <c r="F30" s="3" t="inlineStr">
        <is>
          <t>Jawa Barat</t>
        </is>
      </c>
      <c r="G30" s="3" t="inlineStr">
        <is>
          <t>Overhaul AC</t>
        </is>
      </c>
      <c r="H30" s="2" t="inlineStr">
        <is>
          <t>AC</t>
        </is>
      </c>
      <c r="I30" s="3" t="inlineStr">
        <is>
          <t>Irfan Maulana</t>
        </is>
      </c>
      <c r="J30" s="3" t="inlineStr">
        <is>
          <t>ATC Level 2</t>
        </is>
      </c>
      <c r="K30" s="3" t="inlineStr">
        <is>
          <t>Toyota</t>
        </is>
      </c>
      <c r="L30" s="3" t="inlineStr">
        <is>
          <t>Avanza</t>
        </is>
      </c>
      <c r="M30" s="2" t="n">
        <v>2016</v>
      </c>
      <c r="N30" s="2" t="n">
        <v>5.7</v>
      </c>
      <c r="O30" s="4" t="n">
        <v>302000</v>
      </c>
      <c r="P30" s="4" t="n">
        <v>1167000</v>
      </c>
      <c r="Q30" s="4">
        <f>O30+P30</f>
        <v/>
      </c>
      <c r="R30" s="2" t="n">
        <v>3.6</v>
      </c>
      <c r="S30" s="3" t="inlineStr">
        <is>
          <t>Selesai</t>
        </is>
      </c>
      <c r="T30" s="3" t="inlineStr">
        <is>
          <t>Penggantian komponen aus</t>
        </is>
      </c>
    </row>
    <row r="31">
      <c r="A31" s="5" t="n">
        <v>30</v>
      </c>
      <c r="B31" s="6" t="inlineStr">
        <is>
          <t>MTO-202505-0030</t>
        </is>
      </c>
      <c r="C31" s="5" t="inlineStr">
        <is>
          <t>2025-05-13</t>
        </is>
      </c>
      <c r="D31" s="6" t="inlineStr">
        <is>
          <t>Astra Daihatsu Bandung Soekarno-Hatta</t>
        </is>
      </c>
      <c r="E31" s="6" t="inlineStr">
        <is>
          <t>Bandung</t>
        </is>
      </c>
      <c r="F31" s="6" t="inlineStr">
        <is>
          <t>Jawa Barat</t>
        </is>
      </c>
      <c r="G31" s="6" t="inlineStr">
        <is>
          <t>Servis AC Mobil</t>
        </is>
      </c>
      <c r="H31" s="5" t="inlineStr">
        <is>
          <t>AC</t>
        </is>
      </c>
      <c r="I31" s="6" t="inlineStr">
        <is>
          <t>Eko Prasetyo</t>
        </is>
      </c>
      <c r="J31" s="6" t="inlineStr">
        <is>
          <t>ATC Level 1</t>
        </is>
      </c>
      <c r="K31" s="6" t="inlineStr">
        <is>
          <t>Nissan</t>
        </is>
      </c>
      <c r="L31" s="6" t="inlineStr">
        <is>
          <t>Livina</t>
        </is>
      </c>
      <c r="M31" s="5" t="n">
        <v>2020</v>
      </c>
      <c r="N31" s="5" t="n">
        <v>1.7</v>
      </c>
      <c r="O31" s="7" t="n">
        <v>405000</v>
      </c>
      <c r="P31" s="7" t="n">
        <v>1415000</v>
      </c>
      <c r="Q31" s="7">
        <f>O31+P31</f>
        <v/>
      </c>
      <c r="R31" s="5" t="n">
        <v>3.7</v>
      </c>
      <c r="S31" s="6" t="inlineStr">
        <is>
          <t>Selesai</t>
        </is>
      </c>
      <c r="T31" s="6" t="inlineStr">
        <is>
          <t>Garansi komponen baru</t>
        </is>
      </c>
    </row>
    <row r="32">
      <c r="A32" s="2" t="n">
        <v>31</v>
      </c>
      <c r="B32" s="3" t="inlineStr">
        <is>
          <t>MTO-202405-0031</t>
        </is>
      </c>
      <c r="C32" s="2" t="inlineStr">
        <is>
          <t>2024-05-16</t>
        </is>
      </c>
      <c r="D32" s="3" t="inlineStr">
        <is>
          <t>Wuling Denpasar Sunset</t>
        </is>
      </c>
      <c r="E32" s="3" t="inlineStr">
        <is>
          <t>Denpasar</t>
        </is>
      </c>
      <c r="F32" s="3" t="inlineStr">
        <is>
          <t>Bali</t>
        </is>
      </c>
      <c r="G32" s="3" t="inlineStr">
        <is>
          <t>Ganti Oli &amp; Filter</t>
        </is>
      </c>
      <c r="H32" s="2" t="inlineStr">
        <is>
          <t>AC</t>
        </is>
      </c>
      <c r="I32" s="3" t="inlineStr">
        <is>
          <t>Dwi Rahmadi</t>
        </is>
      </c>
      <c r="J32" s="3" t="inlineStr">
        <is>
          <t>ATC Level 2</t>
        </is>
      </c>
      <c r="K32" s="3" t="inlineStr">
        <is>
          <t>Daihatsu</t>
        </is>
      </c>
      <c r="L32" s="3" t="inlineStr">
        <is>
          <t>Sigra</t>
        </is>
      </c>
      <c r="M32" s="2" t="n">
        <v>2021</v>
      </c>
      <c r="N32" s="2" t="n">
        <v>0.6</v>
      </c>
      <c r="O32" s="4" t="n">
        <v>490000</v>
      </c>
      <c r="P32" s="4" t="n">
        <v>1652000</v>
      </c>
      <c r="Q32" s="4">
        <f>O32+P32</f>
        <v/>
      </c>
      <c r="R32" s="2" t="n">
        <v>4.9</v>
      </c>
      <c r="S32" s="3" t="inlineStr">
        <is>
          <t>Selesai</t>
        </is>
      </c>
      <c r="T32" s="3" t="inlineStr">
        <is>
          <t>Inspeksi berkala 10.000 km</t>
        </is>
      </c>
    </row>
    <row r="33">
      <c r="A33" s="5" t="n">
        <v>32</v>
      </c>
      <c r="B33" s="6" t="inlineStr">
        <is>
          <t>MTO-202404-0032</t>
        </is>
      </c>
      <c r="C33" s="5" t="inlineStr">
        <is>
          <t>2024-04-24</t>
        </is>
      </c>
      <c r="D33" s="6" t="inlineStr">
        <is>
          <t>Astra Daihatsu Bandung Soekarno-Hatta</t>
        </is>
      </c>
      <c r="E33" s="6" t="inlineStr">
        <is>
          <t>Bandung</t>
        </is>
      </c>
      <c r="F33" s="6" t="inlineStr">
        <is>
          <t>Jawa Barat</t>
        </is>
      </c>
      <c r="G33" s="6" t="inlineStr">
        <is>
          <t>Servis Non-AC (Tune Up)</t>
        </is>
      </c>
      <c r="H33" s="5" t="inlineStr">
        <is>
          <t>Non-AC</t>
        </is>
      </c>
      <c r="I33" s="6" t="inlineStr">
        <is>
          <t>Gunawan Hadi</t>
        </is>
      </c>
      <c r="J33" s="6" t="inlineStr">
        <is>
          <t>ATC Level 3</t>
        </is>
      </c>
      <c r="K33" s="6" t="inlineStr">
        <is>
          <t>Toyota</t>
        </is>
      </c>
      <c r="L33" s="6" t="inlineStr">
        <is>
          <t>Calya</t>
        </is>
      </c>
      <c r="M33" s="5" t="n">
        <v>2018</v>
      </c>
      <c r="N33" s="5" t="n">
        <v>1.6</v>
      </c>
      <c r="O33" s="7" t="n">
        <v>621000</v>
      </c>
      <c r="P33" s="7" t="n">
        <v>766000</v>
      </c>
      <c r="Q33" s="7">
        <f>O33+P33</f>
        <v/>
      </c>
      <c r="R33" s="5" t="n">
        <v>4</v>
      </c>
      <c r="S33" s="6" t="inlineStr">
        <is>
          <t>Selesai</t>
        </is>
      </c>
      <c r="T33" s="6" t="inlineStr">
        <is>
          <t>Inspeksi berkala 10.000 km</t>
        </is>
      </c>
    </row>
    <row r="34">
      <c r="A34" s="2" t="n">
        <v>33</v>
      </c>
      <c r="B34" s="3" t="inlineStr">
        <is>
          <t>MTO-202504-0033</t>
        </is>
      </c>
      <c r="C34" s="2" t="inlineStr">
        <is>
          <t>2025-04-25</t>
        </is>
      </c>
      <c r="D34" s="3" t="inlineStr">
        <is>
          <t>Auto2000 Jakarta Selatan</t>
        </is>
      </c>
      <c r="E34" s="3" t="inlineStr">
        <is>
          <t>Jakarta Selatan</t>
        </is>
      </c>
      <c r="F34" s="3" t="inlineStr">
        <is>
          <t>DKI Jakarta</t>
        </is>
      </c>
      <c r="G34" s="3" t="inlineStr">
        <is>
          <t>Pemeriksaan Kelistrikan</t>
        </is>
      </c>
      <c r="H34" s="2" t="inlineStr">
        <is>
          <t>Non-AC</t>
        </is>
      </c>
      <c r="I34" s="3" t="inlineStr">
        <is>
          <t>Gunawan Hadi</t>
        </is>
      </c>
      <c r="J34" s="3" t="inlineStr">
        <is>
          <t>ATC Level 3</t>
        </is>
      </c>
      <c r="K34" s="3" t="inlineStr">
        <is>
          <t>Nissan</t>
        </is>
      </c>
      <c r="L34" s="3" t="inlineStr">
        <is>
          <t>X-Trail</t>
        </is>
      </c>
      <c r="M34" s="2" t="n">
        <v>2016</v>
      </c>
      <c r="N34" s="2" t="n">
        <v>5.8</v>
      </c>
      <c r="O34" s="4" t="n">
        <v>435000</v>
      </c>
      <c r="P34" s="4" t="n">
        <v>769000</v>
      </c>
      <c r="Q34" s="4">
        <f>O34+P34</f>
        <v/>
      </c>
      <c r="R34" s="2" t="n">
        <v>4.5</v>
      </c>
      <c r="S34" s="3" t="inlineStr">
        <is>
          <t>Selesai</t>
        </is>
      </c>
      <c r="T34" s="3" t="inlineStr">
        <is>
          <t>Tindak lanjut servis sebelumnya</t>
        </is>
      </c>
    </row>
    <row r="35">
      <c r="A35" s="5" t="n">
        <v>34</v>
      </c>
      <c r="B35" s="6" t="inlineStr">
        <is>
          <t>MTO-202411-0034</t>
        </is>
      </c>
      <c r="C35" s="5" t="inlineStr">
        <is>
          <t>2024-11-06</t>
        </is>
      </c>
      <c r="D35" s="6" t="inlineStr">
        <is>
          <t>Auto2000 Jakarta Selatan</t>
        </is>
      </c>
      <c r="E35" s="6" t="inlineStr">
        <is>
          <t>Jakarta Selatan</t>
        </is>
      </c>
      <c r="F35" s="6" t="inlineStr">
        <is>
          <t>DKI Jakarta</t>
        </is>
      </c>
      <c r="G35" s="6" t="inlineStr">
        <is>
          <t>Servis Non-AC (Tune Up)</t>
        </is>
      </c>
      <c r="H35" s="5" t="inlineStr">
        <is>
          <t>Non-AC</t>
        </is>
      </c>
      <c r="I35" s="6" t="inlineStr">
        <is>
          <t>Eko Prasetyo</t>
        </is>
      </c>
      <c r="J35" s="6" t="inlineStr">
        <is>
          <t>ATC Level 1</t>
        </is>
      </c>
      <c r="K35" s="6" t="inlineStr">
        <is>
          <t>Daihatsu</t>
        </is>
      </c>
      <c r="L35" s="6" t="inlineStr">
        <is>
          <t>Rocky</t>
        </is>
      </c>
      <c r="M35" s="5" t="n">
        <v>2019</v>
      </c>
      <c r="N35" s="5" t="n">
        <v>0.7</v>
      </c>
      <c r="O35" s="7" t="n">
        <v>760000</v>
      </c>
      <c r="P35" s="7" t="n">
        <v>939000</v>
      </c>
      <c r="Q35" s="7">
        <f>O35+P35</f>
        <v/>
      </c>
      <c r="R35" s="5" t="n">
        <v>4</v>
      </c>
      <c r="S35" s="6" t="inlineStr">
        <is>
          <t>Selesai</t>
        </is>
      </c>
      <c r="T35" s="6" t="inlineStr">
        <is>
          <t>Garansi komponen baru</t>
        </is>
      </c>
    </row>
    <row r="36">
      <c r="A36" s="2" t="n">
        <v>35</v>
      </c>
      <c r="B36" s="3" t="inlineStr">
        <is>
          <t>MTO-202407-0035</t>
        </is>
      </c>
      <c r="C36" s="2" t="inlineStr">
        <is>
          <t>2024-07-05</t>
        </is>
      </c>
      <c r="D36" s="3" t="inlineStr">
        <is>
          <t>Daihatsu Balikpapan Sudirman</t>
        </is>
      </c>
      <c r="E36" s="3" t="inlineStr">
        <is>
          <t>Balikpapan</t>
        </is>
      </c>
      <c r="F36" s="3" t="inlineStr">
        <is>
          <t>Kalimantan Timur</t>
        </is>
      </c>
      <c r="G36" s="3" t="inlineStr">
        <is>
          <t>Servis Non-AC (Tune Up)</t>
        </is>
      </c>
      <c r="H36" s="2" t="inlineStr">
        <is>
          <t>Non-AC</t>
        </is>
      </c>
      <c r="I36" s="3" t="inlineStr">
        <is>
          <t>Gunawan Hadi</t>
        </is>
      </c>
      <c r="J36" s="3" t="inlineStr">
        <is>
          <t>ATC Level 3</t>
        </is>
      </c>
      <c r="K36" s="3" t="inlineStr">
        <is>
          <t>Mitsubishi</t>
        </is>
      </c>
      <c r="L36" s="3" t="inlineStr">
        <is>
          <t>L300</t>
        </is>
      </c>
      <c r="M36" s="2" t="n">
        <v>2015</v>
      </c>
      <c r="N36" s="2" t="n">
        <v>4.4</v>
      </c>
      <c r="O36" s="4" t="n">
        <v>151000</v>
      </c>
      <c r="P36" s="4" t="n">
        <v>1114000</v>
      </c>
      <c r="Q36" s="4">
        <f>O36+P36</f>
        <v/>
      </c>
      <c r="R36" s="2" t="n">
        <v>4.9</v>
      </c>
      <c r="S36" s="3" t="inlineStr">
        <is>
          <t>Selesai</t>
        </is>
      </c>
      <c r="T36" s="3" t="inlineStr">
        <is>
          <t>Inspeksi berkala 10.000 km</t>
        </is>
      </c>
    </row>
    <row r="37">
      <c r="A37" s="5" t="n">
        <v>36</v>
      </c>
      <c r="B37" s="6" t="inlineStr">
        <is>
          <t>MTO-202404-0036</t>
        </is>
      </c>
      <c r="C37" s="5" t="inlineStr">
        <is>
          <t>2024-04-08</t>
        </is>
      </c>
      <c r="D37" s="6" t="inlineStr">
        <is>
          <t>Nissan Makassar Urip</t>
        </is>
      </c>
      <c r="E37" s="6" t="inlineStr">
        <is>
          <t>Makassar</t>
        </is>
      </c>
      <c r="F37" s="6" t="inlineStr">
        <is>
          <t>Sulawesi Selatan</t>
        </is>
      </c>
      <c r="G37" s="6" t="inlineStr">
        <is>
          <t>Servis Non-AC (Tune Up)</t>
        </is>
      </c>
      <c r="H37" s="5" t="inlineStr">
        <is>
          <t>Non-AC</t>
        </is>
      </c>
      <c r="I37" s="6" t="inlineStr">
        <is>
          <t>Fajar Nugroho</t>
        </is>
      </c>
      <c r="J37" s="6" t="inlineStr">
        <is>
          <t>ATC Level 2</t>
        </is>
      </c>
      <c r="K37" s="6" t="inlineStr">
        <is>
          <t>Nissan</t>
        </is>
      </c>
      <c r="L37" s="6" t="inlineStr">
        <is>
          <t>Livina</t>
        </is>
      </c>
      <c r="M37" s="5" t="n">
        <v>2019</v>
      </c>
      <c r="N37" s="5" t="n">
        <v>3.3</v>
      </c>
      <c r="O37" s="7" t="n">
        <v>832000</v>
      </c>
      <c r="P37" s="7" t="n">
        <v>886000</v>
      </c>
      <c r="Q37" s="7">
        <f>O37+P37</f>
        <v/>
      </c>
      <c r="R37" s="5" t="n">
        <v>4</v>
      </c>
      <c r="S37" s="6" t="inlineStr">
        <is>
          <t>Selesai</t>
        </is>
      </c>
      <c r="T37" s="6" t="inlineStr">
        <is>
          <t>Penggantian komponen aus</t>
        </is>
      </c>
    </row>
    <row r="38">
      <c r="A38" s="2" t="n">
        <v>37</v>
      </c>
      <c r="B38" s="3" t="inlineStr">
        <is>
          <t>MTO-202408-0037</t>
        </is>
      </c>
      <c r="C38" s="2" t="inlineStr">
        <is>
          <t>2024-08-26</t>
        </is>
      </c>
      <c r="D38" s="3" t="inlineStr">
        <is>
          <t>Nissan Makassar Urip</t>
        </is>
      </c>
      <c r="E38" s="3" t="inlineStr">
        <is>
          <t>Makassar</t>
        </is>
      </c>
      <c r="F38" s="3" t="inlineStr">
        <is>
          <t>Sulawesi Selatan</t>
        </is>
      </c>
      <c r="G38" s="3" t="inlineStr">
        <is>
          <t>Overhaul AC</t>
        </is>
      </c>
      <c r="H38" s="2" t="inlineStr">
        <is>
          <t>AC</t>
        </is>
      </c>
      <c r="I38" s="3" t="inlineStr">
        <is>
          <t>Cahyo Purnomo</t>
        </is>
      </c>
      <c r="J38" s="3" t="inlineStr">
        <is>
          <t>ATC Level 3</t>
        </is>
      </c>
      <c r="K38" s="3" t="inlineStr">
        <is>
          <t>Suzuki</t>
        </is>
      </c>
      <c r="L38" s="3" t="inlineStr">
        <is>
          <t>Baleno</t>
        </is>
      </c>
      <c r="M38" s="2" t="n">
        <v>2023</v>
      </c>
      <c r="N38" s="2" t="n">
        <v>5.1</v>
      </c>
      <c r="O38" s="4" t="n">
        <v>461000</v>
      </c>
      <c r="P38" s="4" t="n">
        <v>637000</v>
      </c>
      <c r="Q38" s="4">
        <f>O38+P38</f>
        <v/>
      </c>
      <c r="R38" s="2" t="n">
        <v>3.8</v>
      </c>
      <c r="S38" s="3" t="inlineStr">
        <is>
          <t>Selesai</t>
        </is>
      </c>
      <c r="T38" s="3" t="inlineStr">
        <is>
          <t>Tindak lanjut servis sebelumnya</t>
        </is>
      </c>
    </row>
    <row r="39">
      <c r="A39" s="5" t="n">
        <v>38</v>
      </c>
      <c r="B39" s="6" t="inlineStr">
        <is>
          <t>MTO-202412-0038</t>
        </is>
      </c>
      <c r="C39" s="5" t="inlineStr">
        <is>
          <t>2024-12-10</t>
        </is>
      </c>
      <c r="D39" s="6" t="inlineStr">
        <is>
          <t>Suzuki Palembang Demang</t>
        </is>
      </c>
      <c r="E39" s="6" t="inlineStr">
        <is>
          <t>Palembang</t>
        </is>
      </c>
      <c r="F39" s="6" t="inlineStr">
        <is>
          <t>Sumatera Selatan</t>
        </is>
      </c>
      <c r="G39" s="6" t="inlineStr">
        <is>
          <t>Pembersihan Evaporator</t>
        </is>
      </c>
      <c r="H39" s="5" t="inlineStr">
        <is>
          <t>AC</t>
        </is>
      </c>
      <c r="I39" s="6" t="inlineStr">
        <is>
          <t>Dwi Rahmadi</t>
        </is>
      </c>
      <c r="J39" s="6" t="inlineStr">
        <is>
          <t>ATC Level 2</t>
        </is>
      </c>
      <c r="K39" s="6" t="inlineStr">
        <is>
          <t>Hyundai</t>
        </is>
      </c>
      <c r="L39" s="6" t="inlineStr">
        <is>
          <t>Ioniq 5</t>
        </is>
      </c>
      <c r="M39" s="5" t="n">
        <v>2016</v>
      </c>
      <c r="N39" s="5" t="n">
        <v>2.1</v>
      </c>
      <c r="O39" s="7" t="n">
        <v>829000</v>
      </c>
      <c r="P39" s="7" t="n">
        <v>1346000</v>
      </c>
      <c r="Q39" s="7">
        <f>O39+P39</f>
        <v/>
      </c>
      <c r="R39" s="5" t="n">
        <v>4.4</v>
      </c>
      <c r="S39" s="6" t="inlineStr">
        <is>
          <t>Selesai</t>
        </is>
      </c>
      <c r="T39" s="6" t="inlineStr">
        <is>
          <t>Inspeksi berkala 10.000 km</t>
        </is>
      </c>
    </row>
    <row r="40">
      <c r="A40" s="2" t="n">
        <v>39</v>
      </c>
      <c r="B40" s="3" t="inlineStr">
        <is>
          <t>MTO-202503-0039</t>
        </is>
      </c>
      <c r="C40" s="2" t="inlineStr">
        <is>
          <t>2025-03-29</t>
        </is>
      </c>
      <c r="D40" s="3" t="inlineStr">
        <is>
          <t>Toyota Yogyakarta Magelang</t>
        </is>
      </c>
      <c r="E40" s="3" t="inlineStr">
        <is>
          <t>Yogyakarta</t>
        </is>
      </c>
      <c r="F40" s="3" t="inlineStr">
        <is>
          <t>DI Yogyakarta</t>
        </is>
      </c>
      <c r="G40" s="3" t="inlineStr">
        <is>
          <t>Pemeriksaan Kelistrikan</t>
        </is>
      </c>
      <c r="H40" s="2" t="inlineStr">
        <is>
          <t>Non-AC</t>
        </is>
      </c>
      <c r="I40" s="3" t="inlineStr">
        <is>
          <t>Dwi Rahmadi</t>
        </is>
      </c>
      <c r="J40" s="3" t="inlineStr">
        <is>
          <t>ATC Level 2</t>
        </is>
      </c>
      <c r="K40" s="3" t="inlineStr">
        <is>
          <t>Daihatsu</t>
        </is>
      </c>
      <c r="L40" s="3" t="inlineStr">
        <is>
          <t>Ayla</t>
        </is>
      </c>
      <c r="M40" s="2" t="n">
        <v>2015</v>
      </c>
      <c r="N40" s="2" t="n">
        <v>1.8</v>
      </c>
      <c r="O40" s="4" t="n">
        <v>636000</v>
      </c>
      <c r="P40" s="4" t="n">
        <v>1301000</v>
      </c>
      <c r="Q40" s="4">
        <f>O40+P40</f>
        <v/>
      </c>
      <c r="R40" s="2" t="n">
        <v>4.8</v>
      </c>
      <c r="S40" s="3" t="inlineStr">
        <is>
          <t>Selesai</t>
        </is>
      </c>
      <c r="T40" s="3" t="inlineStr">
        <is>
          <t>Garansi komponen baru</t>
        </is>
      </c>
    </row>
    <row r="41">
      <c r="A41" s="5" t="n">
        <v>40</v>
      </c>
      <c r="B41" s="6" t="inlineStr">
        <is>
          <t>MTO-202502-0040</t>
        </is>
      </c>
      <c r="C41" s="5" t="inlineStr">
        <is>
          <t>2025-02-02</t>
        </is>
      </c>
      <c r="D41" s="6" t="inlineStr">
        <is>
          <t>Auto2000 Tangerang Selatan</t>
        </is>
      </c>
      <c r="E41" s="6" t="inlineStr">
        <is>
          <t>Tangerang Selatan</t>
        </is>
      </c>
      <c r="F41" s="6" t="inlineStr">
        <is>
          <t>Banten</t>
        </is>
      </c>
      <c r="G41" s="6" t="inlineStr">
        <is>
          <t>Pemeriksaan Kelistrikan</t>
        </is>
      </c>
      <c r="H41" s="5" t="inlineStr">
        <is>
          <t>Non-AC</t>
        </is>
      </c>
      <c r="I41" s="6" t="inlineStr">
        <is>
          <t>Gunawan Hadi</t>
        </is>
      </c>
      <c r="J41" s="6" t="inlineStr">
        <is>
          <t>ATC Level 3</t>
        </is>
      </c>
      <c r="K41" s="6" t="inlineStr">
        <is>
          <t>Hyundai</t>
        </is>
      </c>
      <c r="L41" s="6" t="inlineStr">
        <is>
          <t>Santa Fe</t>
        </is>
      </c>
      <c r="M41" s="5" t="n">
        <v>2018</v>
      </c>
      <c r="N41" s="5" t="n">
        <v>1.3</v>
      </c>
      <c r="O41" s="7" t="n">
        <v>155000</v>
      </c>
      <c r="P41" s="7" t="n">
        <v>1878000</v>
      </c>
      <c r="Q41" s="7">
        <f>O41+P41</f>
        <v/>
      </c>
      <c r="R41" s="5" t="n">
        <v>4.6</v>
      </c>
      <c r="S41" s="6" t="inlineStr">
        <is>
          <t>Selesai</t>
        </is>
      </c>
      <c r="T41" s="6" t="inlineStr">
        <is>
          <t>Keluhan pelanggan - AC kurang dingin</t>
        </is>
      </c>
    </row>
    <row r="42">
      <c r="A42" s="2" t="n">
        <v>41</v>
      </c>
      <c r="B42" s="3" t="inlineStr">
        <is>
          <t>MTO-202505-0041</t>
        </is>
      </c>
      <c r="C42" s="2" t="inlineStr">
        <is>
          <t>2025-05-01</t>
        </is>
      </c>
      <c r="D42" s="3" t="inlineStr">
        <is>
          <t>Nissan Makassar Urip</t>
        </is>
      </c>
      <c r="E42" s="3" t="inlineStr">
        <is>
          <t>Makassar</t>
        </is>
      </c>
      <c r="F42" s="3" t="inlineStr">
        <is>
          <t>Sulawesi Selatan</t>
        </is>
      </c>
      <c r="G42" s="3" t="inlineStr">
        <is>
          <t>Pemeriksaan Kelistrikan</t>
        </is>
      </c>
      <c r="H42" s="2" t="inlineStr">
        <is>
          <t>Non-AC</t>
        </is>
      </c>
      <c r="I42" s="3" t="inlineStr">
        <is>
          <t>Cahyo Purnomo</t>
        </is>
      </c>
      <c r="J42" s="3" t="inlineStr">
        <is>
          <t>ATC Level 3</t>
        </is>
      </c>
      <c r="K42" s="3" t="inlineStr">
        <is>
          <t>Hyundai</t>
        </is>
      </c>
      <c r="L42" s="3" t="inlineStr">
        <is>
          <t>Creta</t>
        </is>
      </c>
      <c r="M42" s="2" t="n">
        <v>2023</v>
      </c>
      <c r="N42" s="2" t="n">
        <v>1.9</v>
      </c>
      <c r="O42" s="4" t="n">
        <v>274000</v>
      </c>
      <c r="P42" s="4" t="n">
        <v>984000</v>
      </c>
      <c r="Q42" s="4">
        <f>O42+P42</f>
        <v/>
      </c>
      <c r="R42" s="2" t="n">
        <v>3.7</v>
      </c>
      <c r="S42" s="3" t="inlineStr">
        <is>
          <t>Selesai</t>
        </is>
      </c>
      <c r="T42" s="3" t="inlineStr">
        <is>
          <t>Tindak lanjut servis sebelumnya</t>
        </is>
      </c>
    </row>
    <row r="43">
      <c r="A43" s="5" t="n">
        <v>42</v>
      </c>
      <c r="B43" s="6" t="inlineStr">
        <is>
          <t>MTO-202501-0042</t>
        </is>
      </c>
      <c r="C43" s="5" t="inlineStr">
        <is>
          <t>2025-01-27</t>
        </is>
      </c>
      <c r="D43" s="6" t="inlineStr">
        <is>
          <t>Toyota Depok Margonda</t>
        </is>
      </c>
      <c r="E43" s="6" t="inlineStr">
        <is>
          <t>Depok</t>
        </is>
      </c>
      <c r="F43" s="6" t="inlineStr">
        <is>
          <t>Jawa Barat</t>
        </is>
      </c>
      <c r="G43" s="6" t="inlineStr">
        <is>
          <t>Pembersihan Evaporator</t>
        </is>
      </c>
      <c r="H43" s="5" t="inlineStr">
        <is>
          <t>AC</t>
        </is>
      </c>
      <c r="I43" s="6" t="inlineStr">
        <is>
          <t>Joko Susilo</t>
        </is>
      </c>
      <c r="J43" s="6" t="inlineStr">
        <is>
          <t>ATC Level 1</t>
        </is>
      </c>
      <c r="K43" s="6" t="inlineStr">
        <is>
          <t>Wuling</t>
        </is>
      </c>
      <c r="L43" s="6" t="inlineStr">
        <is>
          <t>Formo</t>
        </is>
      </c>
      <c r="M43" s="5" t="n">
        <v>2017</v>
      </c>
      <c r="N43" s="5" t="n">
        <v>4.6</v>
      </c>
      <c r="O43" s="7" t="n">
        <v>636000</v>
      </c>
      <c r="P43" s="7" t="n">
        <v>971000</v>
      </c>
      <c r="Q43" s="7">
        <f>O43+P43</f>
        <v/>
      </c>
      <c r="R43" s="5" t="n">
        <v>3.9</v>
      </c>
      <c r="S43" s="6" t="inlineStr">
        <is>
          <t>Selesai</t>
        </is>
      </c>
      <c r="T43" s="6" t="inlineStr">
        <is>
          <t>Servis darurat - kendaraan mogok</t>
        </is>
      </c>
    </row>
    <row r="44">
      <c r="A44" s="2" t="n">
        <v>43</v>
      </c>
      <c r="B44" s="3" t="inlineStr">
        <is>
          <t>MTO-202403-0043</t>
        </is>
      </c>
      <c r="C44" s="2" t="inlineStr">
        <is>
          <t>2024-03-11</t>
        </is>
      </c>
      <c r="D44" s="3" t="inlineStr">
        <is>
          <t>Toyota Depok Margonda</t>
        </is>
      </c>
      <c r="E44" s="3" t="inlineStr">
        <is>
          <t>Depok</t>
        </is>
      </c>
      <c r="F44" s="3" t="inlineStr">
        <is>
          <t>Jawa Barat</t>
        </is>
      </c>
      <c r="G44" s="3" t="inlineStr">
        <is>
          <t>Servis Transmisi</t>
        </is>
      </c>
      <c r="H44" s="2" t="inlineStr">
        <is>
          <t>Non-AC</t>
        </is>
      </c>
      <c r="I44" s="3" t="inlineStr">
        <is>
          <t>Hendra Wijaya</t>
        </is>
      </c>
      <c r="J44" s="3" t="inlineStr">
        <is>
          <t>ATC Level 1</t>
        </is>
      </c>
      <c r="K44" s="3" t="inlineStr">
        <is>
          <t>Mitsubishi</t>
        </is>
      </c>
      <c r="L44" s="3" t="inlineStr">
        <is>
          <t>L300</t>
        </is>
      </c>
      <c r="M44" s="2" t="n">
        <v>2022</v>
      </c>
      <c r="N44" s="2" t="n">
        <v>0.9</v>
      </c>
      <c r="O44" s="4" t="n">
        <v>442000</v>
      </c>
      <c r="P44" s="4" t="n">
        <v>530000</v>
      </c>
      <c r="Q44" s="4">
        <f>O44+P44</f>
        <v/>
      </c>
      <c r="R44" s="2" t="n">
        <v>3.9</v>
      </c>
      <c r="S44" s="3" t="inlineStr">
        <is>
          <t>Selesai</t>
        </is>
      </c>
      <c r="T44" s="3" t="inlineStr">
        <is>
          <t>Keluhan pelanggan - AC kurang dingin</t>
        </is>
      </c>
    </row>
    <row r="45">
      <c r="A45" s="5" t="n">
        <v>44</v>
      </c>
      <c r="B45" s="6" t="inlineStr">
        <is>
          <t>MTO-202407-0044</t>
        </is>
      </c>
      <c r="C45" s="5" t="inlineStr">
        <is>
          <t>2024-07-18</t>
        </is>
      </c>
      <c r="D45" s="6" t="inlineStr">
        <is>
          <t>Astra Daihatsu Bandung Soekarno-Hatta</t>
        </is>
      </c>
      <c r="E45" s="6" t="inlineStr">
        <is>
          <t>Bandung</t>
        </is>
      </c>
      <c r="F45" s="6" t="inlineStr">
        <is>
          <t>Jawa Barat</t>
        </is>
      </c>
      <c r="G45" s="6" t="inlineStr">
        <is>
          <t>Pemeriksaan Kelistrikan</t>
        </is>
      </c>
      <c r="H45" s="5" t="inlineStr">
        <is>
          <t>Non-AC</t>
        </is>
      </c>
      <c r="I45" s="6" t="inlineStr">
        <is>
          <t>Gunawan Hadi</t>
        </is>
      </c>
      <c r="J45" s="6" t="inlineStr">
        <is>
          <t>ATC Level 3</t>
        </is>
      </c>
      <c r="K45" s="6" t="inlineStr">
        <is>
          <t>Daihatsu</t>
        </is>
      </c>
      <c r="L45" s="6" t="inlineStr">
        <is>
          <t>Sigra</t>
        </is>
      </c>
      <c r="M45" s="5" t="n">
        <v>2016</v>
      </c>
      <c r="N45" s="5" t="n">
        <v>2.8</v>
      </c>
      <c r="O45" s="7" t="n">
        <v>488000</v>
      </c>
      <c r="P45" s="7" t="n">
        <v>1161000</v>
      </c>
      <c r="Q45" s="7">
        <f>O45+P45</f>
        <v/>
      </c>
      <c r="R45" s="5" t="n">
        <v>4.2</v>
      </c>
      <c r="S45" s="6" t="inlineStr">
        <is>
          <t>Selesai</t>
        </is>
      </c>
      <c r="T45" s="6" t="inlineStr">
        <is>
          <t>Garansi komponen baru</t>
        </is>
      </c>
    </row>
    <row r="46">
      <c r="A46" s="2" t="n">
        <v>45</v>
      </c>
      <c r="B46" s="3" t="inlineStr">
        <is>
          <t>MTO-202410-0045</t>
        </is>
      </c>
      <c r="C46" s="2" t="inlineStr">
        <is>
          <t>2024-10-02</t>
        </is>
      </c>
      <c r="D46" s="3" t="inlineStr">
        <is>
          <t>Suzuki Pekanbaru Ahmad Yani</t>
        </is>
      </c>
      <c r="E46" s="3" t="inlineStr">
        <is>
          <t>Pekanbaru</t>
        </is>
      </c>
      <c r="F46" s="3" t="inlineStr">
        <is>
          <t>Riau</t>
        </is>
      </c>
      <c r="G46" s="3" t="inlineStr">
        <is>
          <t>Servis AC Mobil</t>
        </is>
      </c>
      <c r="H46" s="2" t="inlineStr">
        <is>
          <t>AC</t>
        </is>
      </c>
      <c r="I46" s="3" t="inlineStr">
        <is>
          <t>Joko Susilo</t>
        </is>
      </c>
      <c r="J46" s="3" t="inlineStr">
        <is>
          <t>ATC Level 1</t>
        </is>
      </c>
      <c r="K46" s="3" t="inlineStr">
        <is>
          <t>Wuling</t>
        </is>
      </c>
      <c r="L46" s="3" t="inlineStr">
        <is>
          <t>Formo</t>
        </is>
      </c>
      <c r="M46" s="2" t="n">
        <v>2015</v>
      </c>
      <c r="N46" s="2" t="n">
        <v>5.7</v>
      </c>
      <c r="O46" s="4" t="n">
        <v>455000</v>
      </c>
      <c r="P46" s="4" t="n">
        <v>1593000</v>
      </c>
      <c r="Q46" s="4">
        <f>O46+P46</f>
        <v/>
      </c>
      <c r="R46" s="2" t="n">
        <v>4.1</v>
      </c>
      <c r="S46" s="3" t="inlineStr">
        <is>
          <t>Selesai</t>
        </is>
      </c>
      <c r="T46" s="3" t="inlineStr">
        <is>
          <t>Garansi komponen baru</t>
        </is>
      </c>
    </row>
    <row r="47">
      <c r="A47" s="5" t="n">
        <v>46</v>
      </c>
      <c r="B47" s="6" t="inlineStr">
        <is>
          <t>MTO-202501-0046</t>
        </is>
      </c>
      <c r="C47" s="5" t="inlineStr">
        <is>
          <t>2025-01-05</t>
        </is>
      </c>
      <c r="D47" s="6" t="inlineStr">
        <is>
          <t>Honda Bekasi Galaxy</t>
        </is>
      </c>
      <c r="E47" s="6" t="inlineStr">
        <is>
          <t>Bekasi</t>
        </is>
      </c>
      <c r="F47" s="6" t="inlineStr">
        <is>
          <t>Jawa Barat</t>
        </is>
      </c>
      <c r="G47" s="6" t="inlineStr">
        <is>
          <t>Servis Transmisi</t>
        </is>
      </c>
      <c r="H47" s="5" t="inlineStr">
        <is>
          <t>Non-AC</t>
        </is>
      </c>
      <c r="I47" s="6" t="inlineStr">
        <is>
          <t>Joko Susilo</t>
        </is>
      </c>
      <c r="J47" s="6" t="inlineStr">
        <is>
          <t>ATC Level 1</t>
        </is>
      </c>
      <c r="K47" s="6" t="inlineStr">
        <is>
          <t>Mitsubishi</t>
        </is>
      </c>
      <c r="L47" s="6" t="inlineStr">
        <is>
          <t>Outlander</t>
        </is>
      </c>
      <c r="M47" s="5" t="n">
        <v>2018</v>
      </c>
      <c r="N47" s="5" t="n">
        <v>2</v>
      </c>
      <c r="O47" s="7" t="n">
        <v>647000</v>
      </c>
      <c r="P47" s="7" t="n">
        <v>109000</v>
      </c>
      <c r="Q47" s="7">
        <f>O47+P47</f>
        <v/>
      </c>
      <c r="R47" s="5" t="n">
        <v>4.1</v>
      </c>
      <c r="S47" s="6" t="inlineStr">
        <is>
          <t>Selesai</t>
        </is>
      </c>
      <c r="T47" s="6" t="inlineStr">
        <is>
          <t>Garansi komponen baru</t>
        </is>
      </c>
    </row>
    <row r="48">
      <c r="A48" s="2" t="n">
        <v>47</v>
      </c>
      <c r="B48" s="3" t="inlineStr">
        <is>
          <t>MTO-202404-0047</t>
        </is>
      </c>
      <c r="C48" s="2" t="inlineStr">
        <is>
          <t>2024-04-03</t>
        </is>
      </c>
      <c r="D48" s="3" t="inlineStr">
        <is>
          <t>Astra Daihatsu Bandung Soekarno-Hatta</t>
        </is>
      </c>
      <c r="E48" s="3" t="inlineStr">
        <is>
          <t>Bandung</t>
        </is>
      </c>
      <c r="F48" s="3" t="inlineStr">
        <is>
          <t>Jawa Barat</t>
        </is>
      </c>
      <c r="G48" s="3" t="inlineStr">
        <is>
          <t>Pembersihan Evaporator</t>
        </is>
      </c>
      <c r="H48" s="2" t="inlineStr">
        <is>
          <t>AC</t>
        </is>
      </c>
      <c r="I48" s="3" t="inlineStr">
        <is>
          <t>Cahyo Purnomo</t>
        </is>
      </c>
      <c r="J48" s="3" t="inlineStr">
        <is>
          <t>ATC Level 3</t>
        </is>
      </c>
      <c r="K48" s="3" t="inlineStr">
        <is>
          <t>Toyota</t>
        </is>
      </c>
      <c r="L48" s="3" t="inlineStr">
        <is>
          <t>Calya</t>
        </is>
      </c>
      <c r="M48" s="2" t="n">
        <v>2024</v>
      </c>
      <c r="N48" s="2" t="n">
        <v>3.6</v>
      </c>
      <c r="O48" s="4" t="n">
        <v>177000</v>
      </c>
      <c r="P48" s="4" t="n">
        <v>221000</v>
      </c>
      <c r="Q48" s="4">
        <f>O48+P48</f>
        <v/>
      </c>
      <c r="R48" s="2" t="n">
        <v>4.5</v>
      </c>
      <c r="S48" s="3" t="inlineStr">
        <is>
          <t>Selesai</t>
        </is>
      </c>
      <c r="T48" s="3" t="inlineStr">
        <is>
          <t>Servis pre-delivery inspection</t>
        </is>
      </c>
    </row>
    <row r="49">
      <c r="A49" s="5" t="n">
        <v>48</v>
      </c>
      <c r="B49" s="6" t="inlineStr">
        <is>
          <t>MTO-202503-0048</t>
        </is>
      </c>
      <c r="C49" s="5" t="inlineStr">
        <is>
          <t>2025-03-03</t>
        </is>
      </c>
      <c r="D49" s="6" t="inlineStr">
        <is>
          <t>Auto2000 Jakarta Selatan</t>
        </is>
      </c>
      <c r="E49" s="6" t="inlineStr">
        <is>
          <t>Jakarta Selatan</t>
        </is>
      </c>
      <c r="F49" s="6" t="inlineStr">
        <is>
          <t>DKI Jakarta</t>
        </is>
      </c>
      <c r="G49" s="6" t="inlineStr">
        <is>
          <t>Servis Rem</t>
        </is>
      </c>
      <c r="H49" s="5" t="inlineStr">
        <is>
          <t>Non-AC</t>
        </is>
      </c>
      <c r="I49" s="6" t="inlineStr">
        <is>
          <t>Gunawan Hadi</t>
        </is>
      </c>
      <c r="J49" s="6" t="inlineStr">
        <is>
          <t>ATC Level 3</t>
        </is>
      </c>
      <c r="K49" s="6" t="inlineStr">
        <is>
          <t>Nissan</t>
        </is>
      </c>
      <c r="L49" s="6" t="inlineStr">
        <is>
          <t>Grand Livina</t>
        </is>
      </c>
      <c r="M49" s="5" t="n">
        <v>2022</v>
      </c>
      <c r="N49" s="5" t="n">
        <v>2.3</v>
      </c>
      <c r="O49" s="7" t="n">
        <v>538000</v>
      </c>
      <c r="P49" s="7" t="n">
        <v>619000</v>
      </c>
      <c r="Q49" s="7">
        <f>O49+P49</f>
        <v/>
      </c>
      <c r="R49" s="5" t="n">
        <v>4.6</v>
      </c>
      <c r="S49" s="6" t="inlineStr">
        <is>
          <t>Selesai</t>
        </is>
      </c>
      <c r="T49" s="6" t="inlineStr">
        <is>
          <t>Servis darurat - kendaraan mogok</t>
        </is>
      </c>
    </row>
    <row r="50">
      <c r="A50" s="2" t="n">
        <v>49</v>
      </c>
      <c r="B50" s="3" t="inlineStr">
        <is>
          <t>MTO-202503-0049</t>
        </is>
      </c>
      <c r="C50" s="2" t="inlineStr">
        <is>
          <t>2025-03-05</t>
        </is>
      </c>
      <c r="D50" s="3" t="inlineStr">
        <is>
          <t>Nasmoco Semarang Pemuda</t>
        </is>
      </c>
      <c r="E50" s="3" t="inlineStr">
        <is>
          <t>Semarang</t>
        </is>
      </c>
      <c r="F50" s="3" t="inlineStr">
        <is>
          <t>Jawa Tengah</t>
        </is>
      </c>
      <c r="G50" s="3" t="inlineStr">
        <is>
          <t>Pembersihan Evaporator</t>
        </is>
      </c>
      <c r="H50" s="2" t="inlineStr">
        <is>
          <t>AC</t>
        </is>
      </c>
      <c r="I50" s="3" t="inlineStr">
        <is>
          <t>Ahmad Fauzi</t>
        </is>
      </c>
      <c r="J50" s="3" t="inlineStr">
        <is>
          <t>ATC Level 2</t>
        </is>
      </c>
      <c r="K50" s="3" t="inlineStr">
        <is>
          <t>Toyota</t>
        </is>
      </c>
      <c r="L50" s="3" t="inlineStr">
        <is>
          <t>Fortuner</t>
        </is>
      </c>
      <c r="M50" s="2" t="n">
        <v>2018</v>
      </c>
      <c r="N50" s="2" t="n">
        <v>4.1</v>
      </c>
      <c r="O50" s="4" t="n">
        <v>817000</v>
      </c>
      <c r="P50" s="4" t="n">
        <v>132000</v>
      </c>
      <c r="Q50" s="4">
        <f>O50+P50</f>
        <v/>
      </c>
      <c r="R50" s="2" t="n">
        <v>4.6</v>
      </c>
      <c r="S50" s="3" t="inlineStr">
        <is>
          <t>Selesai</t>
        </is>
      </c>
      <c r="T50" s="3" t="inlineStr">
        <is>
          <t>Inspeksi berkala 10.000 km</t>
        </is>
      </c>
    </row>
    <row r="51">
      <c r="A51" s="5" t="n">
        <v>50</v>
      </c>
      <c r="B51" s="6" t="inlineStr">
        <is>
          <t>MTO-202411-0050</t>
        </is>
      </c>
      <c r="C51" s="5" t="inlineStr">
        <is>
          <t>2024-11-06</t>
        </is>
      </c>
      <c r="D51" s="6" t="inlineStr">
        <is>
          <t>Auto2000 Jakarta Selatan</t>
        </is>
      </c>
      <c r="E51" s="6" t="inlineStr">
        <is>
          <t>Jakarta Selatan</t>
        </is>
      </c>
      <c r="F51" s="6" t="inlineStr">
        <is>
          <t>DKI Jakarta</t>
        </is>
      </c>
      <c r="G51" s="6" t="inlineStr">
        <is>
          <t>Ganti Oli &amp; Filter</t>
        </is>
      </c>
      <c r="H51" s="5" t="inlineStr">
        <is>
          <t>AC</t>
        </is>
      </c>
      <c r="I51" s="6" t="inlineStr">
        <is>
          <t>Dwi Rahmadi</t>
        </is>
      </c>
      <c r="J51" s="6" t="inlineStr">
        <is>
          <t>ATC Level 2</t>
        </is>
      </c>
      <c r="K51" s="6" t="inlineStr">
        <is>
          <t>Daihatsu</t>
        </is>
      </c>
      <c r="L51" s="6" t="inlineStr">
        <is>
          <t>Xenia</t>
        </is>
      </c>
      <c r="M51" s="5" t="n">
        <v>2016</v>
      </c>
      <c r="N51" s="5" t="n">
        <v>3.6</v>
      </c>
      <c r="O51" s="7" t="n">
        <v>373000</v>
      </c>
      <c r="P51" s="7" t="n">
        <v>1002000</v>
      </c>
      <c r="Q51" s="7">
        <f>O51+P51</f>
        <v/>
      </c>
      <c r="R51" s="5" t="n">
        <v>4.5</v>
      </c>
      <c r="S51" s="6" t="inlineStr">
        <is>
          <t>Selesai</t>
        </is>
      </c>
      <c r="T51" s="6" t="inlineStr">
        <is>
          <t>Penggantian komponen aus</t>
        </is>
      </c>
    </row>
    <row r="52">
      <c r="A52" s="2" t="n">
        <v>51</v>
      </c>
      <c r="B52" s="3" t="inlineStr">
        <is>
          <t>MTO-202504-0051</t>
        </is>
      </c>
      <c r="C52" s="2" t="inlineStr">
        <is>
          <t>2025-04-27</t>
        </is>
      </c>
      <c r="D52" s="3" t="inlineStr">
        <is>
          <t>Wuling Denpasar Sunset</t>
        </is>
      </c>
      <c r="E52" s="3" t="inlineStr">
        <is>
          <t>Denpasar</t>
        </is>
      </c>
      <c r="F52" s="3" t="inlineStr">
        <is>
          <t>Bali</t>
        </is>
      </c>
      <c r="G52" s="3" t="inlineStr">
        <is>
          <t>Servis Non-AC (Tune Up)</t>
        </is>
      </c>
      <c r="H52" s="2" t="inlineStr">
        <is>
          <t>Non-AC</t>
        </is>
      </c>
      <c r="I52" s="3" t="inlineStr">
        <is>
          <t>Cahyo Purnomo</t>
        </is>
      </c>
      <c r="J52" s="3" t="inlineStr">
        <is>
          <t>ATC Level 3</t>
        </is>
      </c>
      <c r="K52" s="3" t="inlineStr">
        <is>
          <t>Suzuki</t>
        </is>
      </c>
      <c r="L52" s="3" t="inlineStr">
        <is>
          <t>Ertiga</t>
        </is>
      </c>
      <c r="M52" s="2" t="n">
        <v>2024</v>
      </c>
      <c r="N52" s="2" t="n">
        <v>0.6</v>
      </c>
      <c r="O52" s="4" t="n">
        <v>469000</v>
      </c>
      <c r="P52" s="4" t="n">
        <v>1229000</v>
      </c>
      <c r="Q52" s="4">
        <f>O52+P52</f>
        <v/>
      </c>
      <c r="R52" s="2" t="n">
        <v>4.5</v>
      </c>
      <c r="S52" s="3" t="inlineStr">
        <is>
          <t>Selesai</t>
        </is>
      </c>
      <c r="T52" s="3" t="inlineStr">
        <is>
          <t>Garansi komponen baru</t>
        </is>
      </c>
    </row>
    <row r="53">
      <c r="A53" s="5" t="n">
        <v>52</v>
      </c>
      <c r="B53" s="6" t="inlineStr">
        <is>
          <t>MTO-202406-0052</t>
        </is>
      </c>
      <c r="C53" s="5" t="inlineStr">
        <is>
          <t>2024-06-26</t>
        </is>
      </c>
      <c r="D53" s="6" t="inlineStr">
        <is>
          <t>Honda Bekasi Galaxy</t>
        </is>
      </c>
      <c r="E53" s="6" t="inlineStr">
        <is>
          <t>Bekasi</t>
        </is>
      </c>
      <c r="F53" s="6" t="inlineStr">
        <is>
          <t>Jawa Barat</t>
        </is>
      </c>
      <c r="G53" s="6" t="inlineStr">
        <is>
          <t>Pemeriksaan Kelistrikan</t>
        </is>
      </c>
      <c r="H53" s="5" t="inlineStr">
        <is>
          <t>Non-AC</t>
        </is>
      </c>
      <c r="I53" s="6" t="inlineStr">
        <is>
          <t>Budi Santoso</t>
        </is>
      </c>
      <c r="J53" s="6" t="inlineStr">
        <is>
          <t>ATC Level 1</t>
        </is>
      </c>
      <c r="K53" s="6" t="inlineStr">
        <is>
          <t>Mitsubishi</t>
        </is>
      </c>
      <c r="L53" s="6" t="inlineStr">
        <is>
          <t>Xpander</t>
        </is>
      </c>
      <c r="M53" s="5" t="n">
        <v>2019</v>
      </c>
      <c r="N53" s="5" t="n">
        <v>5.2</v>
      </c>
      <c r="O53" s="7" t="n">
        <v>764000</v>
      </c>
      <c r="P53" s="7" t="n">
        <v>1699000</v>
      </c>
      <c r="Q53" s="7">
        <f>O53+P53</f>
        <v/>
      </c>
      <c r="R53" s="5" t="n">
        <v>3.7</v>
      </c>
      <c r="S53" s="6" t="inlineStr">
        <is>
          <t>Pending</t>
        </is>
      </c>
      <c r="T53" s="6" t="inlineStr">
        <is>
          <t>Servis rutin terjadwal</t>
        </is>
      </c>
    </row>
    <row r="54">
      <c r="A54" s="2" t="n">
        <v>53</v>
      </c>
      <c r="B54" s="3" t="inlineStr">
        <is>
          <t>MTO-202411-0053</t>
        </is>
      </c>
      <c r="C54" s="2" t="inlineStr">
        <is>
          <t>2024-11-21</t>
        </is>
      </c>
      <c r="D54" s="3" t="inlineStr">
        <is>
          <t>Daihatsu Balikpapan Sudirman</t>
        </is>
      </c>
      <c r="E54" s="3" t="inlineStr">
        <is>
          <t>Balikpapan</t>
        </is>
      </c>
      <c r="F54" s="3" t="inlineStr">
        <is>
          <t>Kalimantan Timur</t>
        </is>
      </c>
      <c r="G54" s="3" t="inlineStr">
        <is>
          <t>Overhaul AC</t>
        </is>
      </c>
      <c r="H54" s="2" t="inlineStr">
        <is>
          <t>AC</t>
        </is>
      </c>
      <c r="I54" s="3" t="inlineStr">
        <is>
          <t>Fajar Nugroho</t>
        </is>
      </c>
      <c r="J54" s="3" t="inlineStr">
        <is>
          <t>ATC Level 2</t>
        </is>
      </c>
      <c r="K54" s="3" t="inlineStr">
        <is>
          <t>Honda</t>
        </is>
      </c>
      <c r="L54" s="3" t="inlineStr">
        <is>
          <t>Mobilio</t>
        </is>
      </c>
      <c r="M54" s="2" t="n">
        <v>2020</v>
      </c>
      <c r="N54" s="2" t="n">
        <v>0.6</v>
      </c>
      <c r="O54" s="4" t="n">
        <v>580000</v>
      </c>
      <c r="P54" s="4" t="n">
        <v>1734000</v>
      </c>
      <c r="Q54" s="4">
        <f>O54+P54</f>
        <v/>
      </c>
      <c r="R54" s="2" t="n">
        <v>4.2</v>
      </c>
      <c r="S54" s="3" t="inlineStr">
        <is>
          <t>Selesai</t>
        </is>
      </c>
      <c r="T54" s="3" t="inlineStr">
        <is>
          <t>Tindak lanjut servis sebelumnya</t>
        </is>
      </c>
    </row>
    <row r="55">
      <c r="A55" s="5" t="n">
        <v>54</v>
      </c>
      <c r="B55" s="6" t="inlineStr">
        <is>
          <t>MTO-202408-0054</t>
        </is>
      </c>
      <c r="C55" s="5" t="inlineStr">
        <is>
          <t>2024-08-26</t>
        </is>
      </c>
      <c r="D55" s="6" t="inlineStr">
        <is>
          <t>Suzuki Pekanbaru Ahmad Yani</t>
        </is>
      </c>
      <c r="E55" s="6" t="inlineStr">
        <is>
          <t>Pekanbaru</t>
        </is>
      </c>
      <c r="F55" s="6" t="inlineStr">
        <is>
          <t>Riau</t>
        </is>
      </c>
      <c r="G55" s="6" t="inlineStr">
        <is>
          <t>Pembersihan Evaporator</t>
        </is>
      </c>
      <c r="H55" s="5" t="inlineStr">
        <is>
          <t>AC</t>
        </is>
      </c>
      <c r="I55" s="6" t="inlineStr">
        <is>
          <t>Cahyo Purnomo</t>
        </is>
      </c>
      <c r="J55" s="6" t="inlineStr">
        <is>
          <t>ATC Level 3</t>
        </is>
      </c>
      <c r="K55" s="6" t="inlineStr">
        <is>
          <t>Wuling</t>
        </is>
      </c>
      <c r="L55" s="6" t="inlineStr">
        <is>
          <t>Air ev</t>
        </is>
      </c>
      <c r="M55" s="5" t="n">
        <v>2023</v>
      </c>
      <c r="N55" s="5" t="n">
        <v>5.8</v>
      </c>
      <c r="O55" s="7" t="n">
        <v>426000</v>
      </c>
      <c r="P55" s="7" t="n">
        <v>1311000</v>
      </c>
      <c r="Q55" s="7">
        <f>O55+P55</f>
        <v/>
      </c>
      <c r="R55" s="5" t="n">
        <v>4.7</v>
      </c>
      <c r="S55" s="6" t="inlineStr">
        <is>
          <t>Selesai</t>
        </is>
      </c>
      <c r="T55" s="6" t="inlineStr">
        <is>
          <t>Servis pre-delivery inspection</t>
        </is>
      </c>
    </row>
    <row r="56">
      <c r="A56" s="2" t="n">
        <v>55</v>
      </c>
      <c r="B56" s="3" t="inlineStr">
        <is>
          <t>MTO-202406-0055</t>
        </is>
      </c>
      <c r="C56" s="2" t="inlineStr">
        <is>
          <t>2024-06-21</t>
        </is>
      </c>
      <c r="D56" s="3" t="inlineStr">
        <is>
          <t>Nissan Makassar Urip</t>
        </is>
      </c>
      <c r="E56" s="3" t="inlineStr">
        <is>
          <t>Makassar</t>
        </is>
      </c>
      <c r="F56" s="3" t="inlineStr">
        <is>
          <t>Sulawesi Selatan</t>
        </is>
      </c>
      <c r="G56" s="3" t="inlineStr">
        <is>
          <t>Servis Rem</t>
        </is>
      </c>
      <c r="H56" s="2" t="inlineStr">
        <is>
          <t>Non-AC</t>
        </is>
      </c>
      <c r="I56" s="3" t="inlineStr">
        <is>
          <t>Fajar Nugroho</t>
        </is>
      </c>
      <c r="J56" s="3" t="inlineStr">
        <is>
          <t>ATC Level 2</t>
        </is>
      </c>
      <c r="K56" s="3" t="inlineStr">
        <is>
          <t>Mitsubishi</t>
        </is>
      </c>
      <c r="L56" s="3" t="inlineStr">
        <is>
          <t>Xpander</t>
        </is>
      </c>
      <c r="M56" s="2" t="n">
        <v>2019</v>
      </c>
      <c r="N56" s="2" t="n">
        <v>5.3</v>
      </c>
      <c r="O56" s="4" t="n">
        <v>399000</v>
      </c>
      <c r="P56" s="4" t="n">
        <v>1586000</v>
      </c>
      <c r="Q56" s="4">
        <f>O56+P56</f>
        <v/>
      </c>
      <c r="R56" s="2" t="n">
        <v>4.2</v>
      </c>
      <c r="S56" s="3" t="inlineStr">
        <is>
          <t>Selesai</t>
        </is>
      </c>
      <c r="T56" s="3" t="inlineStr">
        <is>
          <t>Garansi komponen baru</t>
        </is>
      </c>
    </row>
    <row r="57">
      <c r="A57" s="5" t="n">
        <v>56</v>
      </c>
      <c r="B57" s="6" t="inlineStr">
        <is>
          <t>MTO-202410-0056</t>
        </is>
      </c>
      <c r="C57" s="5" t="inlineStr">
        <is>
          <t>2024-10-11</t>
        </is>
      </c>
      <c r="D57" s="6" t="inlineStr">
        <is>
          <t>Auto2000 Jakarta Selatan</t>
        </is>
      </c>
      <c r="E57" s="6" t="inlineStr">
        <is>
          <t>Jakarta Selatan</t>
        </is>
      </c>
      <c r="F57" s="6" t="inlineStr">
        <is>
          <t>DKI Jakarta</t>
        </is>
      </c>
      <c r="G57" s="6" t="inlineStr">
        <is>
          <t>Pembersihan Evaporator</t>
        </is>
      </c>
      <c r="H57" s="5" t="inlineStr">
        <is>
          <t>AC</t>
        </is>
      </c>
      <c r="I57" s="6" t="inlineStr">
        <is>
          <t>Fajar Nugroho</t>
        </is>
      </c>
      <c r="J57" s="6" t="inlineStr">
        <is>
          <t>ATC Level 2</t>
        </is>
      </c>
      <c r="K57" s="6" t="inlineStr">
        <is>
          <t>Daihatsu</t>
        </is>
      </c>
      <c r="L57" s="6" t="inlineStr">
        <is>
          <t>Xenia</t>
        </is>
      </c>
      <c r="M57" s="5" t="n">
        <v>2018</v>
      </c>
      <c r="N57" s="5" t="n">
        <v>2.5</v>
      </c>
      <c r="O57" s="7" t="n">
        <v>414000</v>
      </c>
      <c r="P57" s="7" t="n">
        <v>747000</v>
      </c>
      <c r="Q57" s="7">
        <f>O57+P57</f>
        <v/>
      </c>
      <c r="R57" s="5" t="n">
        <v>3.9</v>
      </c>
      <c r="S57" s="6" t="inlineStr">
        <is>
          <t>Selesai</t>
        </is>
      </c>
      <c r="T57" s="6" t="inlineStr">
        <is>
          <t>Servis darurat - kendaraan mogok</t>
        </is>
      </c>
    </row>
    <row r="58">
      <c r="A58" s="2" t="n">
        <v>57</v>
      </c>
      <c r="B58" s="3" t="inlineStr">
        <is>
          <t>MTO-202502-0057</t>
        </is>
      </c>
      <c r="C58" s="2" t="inlineStr">
        <is>
          <t>2025-02-09</t>
        </is>
      </c>
      <c r="D58" s="3" t="inlineStr">
        <is>
          <t>Auto2000 Jakarta Selatan</t>
        </is>
      </c>
      <c r="E58" s="3" t="inlineStr">
        <is>
          <t>Jakarta Selatan</t>
        </is>
      </c>
      <c r="F58" s="3" t="inlineStr">
        <is>
          <t>DKI Jakarta</t>
        </is>
      </c>
      <c r="G58" s="3" t="inlineStr">
        <is>
          <t>Servis Transmisi</t>
        </is>
      </c>
      <c r="H58" s="2" t="inlineStr">
        <is>
          <t>Non-AC</t>
        </is>
      </c>
      <c r="I58" s="3" t="inlineStr">
        <is>
          <t>Dwi Rahmadi</t>
        </is>
      </c>
      <c r="J58" s="3" t="inlineStr">
        <is>
          <t>ATC Level 2</t>
        </is>
      </c>
      <c r="K58" s="3" t="inlineStr">
        <is>
          <t>Honda</t>
        </is>
      </c>
      <c r="L58" s="3" t="inlineStr">
        <is>
          <t>Jazz</t>
        </is>
      </c>
      <c r="M58" s="2" t="n">
        <v>2021</v>
      </c>
      <c r="N58" s="2" t="n">
        <v>3.2</v>
      </c>
      <c r="O58" s="4" t="n">
        <v>396000</v>
      </c>
      <c r="P58" s="4" t="n">
        <v>1464000</v>
      </c>
      <c r="Q58" s="4">
        <f>O58+P58</f>
        <v/>
      </c>
      <c r="R58" s="2" t="n">
        <v>4.2</v>
      </c>
      <c r="S58" s="3" t="inlineStr">
        <is>
          <t>Selesai</t>
        </is>
      </c>
      <c r="T58" s="3" t="inlineStr">
        <is>
          <t>Servis pre-delivery inspection</t>
        </is>
      </c>
    </row>
    <row r="59">
      <c r="A59" s="5" t="n">
        <v>58</v>
      </c>
      <c r="B59" s="6" t="inlineStr">
        <is>
          <t>MTO-202501-0058</t>
        </is>
      </c>
      <c r="C59" s="5" t="inlineStr">
        <is>
          <t>2025-01-16</t>
        </is>
      </c>
      <c r="D59" s="6" t="inlineStr">
        <is>
          <t>Auto2000 Jakarta Selatan</t>
        </is>
      </c>
      <c r="E59" s="6" t="inlineStr">
        <is>
          <t>Jakarta Selatan</t>
        </is>
      </c>
      <c r="F59" s="6" t="inlineStr">
        <is>
          <t>DKI Jakarta</t>
        </is>
      </c>
      <c r="G59" s="6" t="inlineStr">
        <is>
          <t>Servis Non-AC (Tune Up)</t>
        </is>
      </c>
      <c r="H59" s="5" t="inlineStr">
        <is>
          <t>Non-AC</t>
        </is>
      </c>
      <c r="I59" s="6" t="inlineStr">
        <is>
          <t>Eko Prasetyo</t>
        </is>
      </c>
      <c r="J59" s="6" t="inlineStr">
        <is>
          <t>ATC Level 1</t>
        </is>
      </c>
      <c r="K59" s="6" t="inlineStr">
        <is>
          <t>Mitsubishi</t>
        </is>
      </c>
      <c r="L59" s="6" t="inlineStr">
        <is>
          <t>Outlander</t>
        </is>
      </c>
      <c r="M59" s="5" t="n">
        <v>2018</v>
      </c>
      <c r="N59" s="5" t="n">
        <v>2.2</v>
      </c>
      <c r="O59" s="7" t="n">
        <v>745000</v>
      </c>
      <c r="P59" s="7" t="n">
        <v>805000</v>
      </c>
      <c r="Q59" s="7">
        <f>O59+P59</f>
        <v/>
      </c>
      <c r="R59" s="5" t="n">
        <v>4.2</v>
      </c>
      <c r="S59" s="6" t="inlineStr">
        <is>
          <t>Selesai</t>
        </is>
      </c>
      <c r="T59" s="6" t="inlineStr">
        <is>
          <t>Garansi komponen baru</t>
        </is>
      </c>
    </row>
    <row r="60">
      <c r="A60" s="2" t="n">
        <v>59</v>
      </c>
      <c r="B60" s="3" t="inlineStr">
        <is>
          <t>MTO-202404-0059</t>
        </is>
      </c>
      <c r="C60" s="2" t="inlineStr">
        <is>
          <t>2024-04-08</t>
        </is>
      </c>
      <c r="D60" s="3" t="inlineStr">
        <is>
          <t>Daihatsu Balikpapan Sudirman</t>
        </is>
      </c>
      <c r="E60" s="3" t="inlineStr">
        <is>
          <t>Balikpapan</t>
        </is>
      </c>
      <c r="F60" s="3" t="inlineStr">
        <is>
          <t>Kalimantan Timur</t>
        </is>
      </c>
      <c r="G60" s="3" t="inlineStr">
        <is>
          <t>Ganti Freon AC</t>
        </is>
      </c>
      <c r="H60" s="2" t="inlineStr">
        <is>
          <t>AC</t>
        </is>
      </c>
      <c r="I60" s="3" t="inlineStr">
        <is>
          <t>Fajar Nugroho</t>
        </is>
      </c>
      <c r="J60" s="3" t="inlineStr">
        <is>
          <t>ATC Level 2</t>
        </is>
      </c>
      <c r="K60" s="3" t="inlineStr">
        <is>
          <t>Hyundai</t>
        </is>
      </c>
      <c r="L60" s="3" t="inlineStr">
        <is>
          <t>Stargazer</t>
        </is>
      </c>
      <c r="M60" s="2" t="n">
        <v>2019</v>
      </c>
      <c r="N60" s="2" t="n">
        <v>1.9</v>
      </c>
      <c r="O60" s="4" t="n">
        <v>273000</v>
      </c>
      <c r="P60" s="4" t="n">
        <v>1527000</v>
      </c>
      <c r="Q60" s="4">
        <f>O60+P60</f>
        <v/>
      </c>
      <c r="R60" s="2" t="n">
        <v>3.8</v>
      </c>
      <c r="S60" s="3" t="inlineStr">
        <is>
          <t>Selesai</t>
        </is>
      </c>
      <c r="T60" s="3" t="inlineStr">
        <is>
          <t>Penggantian komponen aus</t>
        </is>
      </c>
    </row>
    <row r="61">
      <c r="A61" s="5" t="n">
        <v>60</v>
      </c>
      <c r="B61" s="6" t="inlineStr">
        <is>
          <t>MTO-202405-0060</t>
        </is>
      </c>
      <c r="C61" s="5" t="inlineStr">
        <is>
          <t>2024-05-20</t>
        </is>
      </c>
      <c r="D61" s="6" t="inlineStr">
        <is>
          <t>Honda Surabaya Center</t>
        </is>
      </c>
      <c r="E61" s="6" t="inlineStr">
        <is>
          <t>Surabaya</t>
        </is>
      </c>
      <c r="F61" s="6" t="inlineStr">
        <is>
          <t>Jawa Timur</t>
        </is>
      </c>
      <c r="G61" s="6" t="inlineStr">
        <is>
          <t>Pembersihan Evaporator</t>
        </is>
      </c>
      <c r="H61" s="5" t="inlineStr">
        <is>
          <t>AC</t>
        </is>
      </c>
      <c r="I61" s="6" t="inlineStr">
        <is>
          <t>Eko Prasetyo</t>
        </is>
      </c>
      <c r="J61" s="6" t="inlineStr">
        <is>
          <t>ATC Level 1</t>
        </is>
      </c>
      <c r="K61" s="6" t="inlineStr">
        <is>
          <t>Suzuki</t>
        </is>
      </c>
      <c r="L61" s="6" t="inlineStr">
        <is>
          <t>Ertiga</t>
        </is>
      </c>
      <c r="M61" s="5" t="n">
        <v>2018</v>
      </c>
      <c r="N61" s="5" t="n">
        <v>2.1</v>
      </c>
      <c r="O61" s="7" t="n">
        <v>519000</v>
      </c>
      <c r="P61" s="7" t="n">
        <v>417000</v>
      </c>
      <c r="Q61" s="7">
        <f>O61+P61</f>
        <v/>
      </c>
      <c r="R61" s="5" t="n">
        <v>4</v>
      </c>
      <c r="S61" s="6" t="inlineStr">
        <is>
          <t>Selesai</t>
        </is>
      </c>
      <c r="T61" s="6" t="inlineStr">
        <is>
          <t>Penggantian komponen aus</t>
        </is>
      </c>
    </row>
    <row r="62">
      <c r="A62" s="2" t="n">
        <v>61</v>
      </c>
      <c r="B62" s="3" t="inlineStr">
        <is>
          <t>MTO-202404-0061</t>
        </is>
      </c>
      <c r="C62" s="2" t="inlineStr">
        <is>
          <t>2024-04-04</t>
        </is>
      </c>
      <c r="D62" s="3" t="inlineStr">
        <is>
          <t>Auto2000 Jakarta Selatan</t>
        </is>
      </c>
      <c r="E62" s="3" t="inlineStr">
        <is>
          <t>Jakarta Selatan</t>
        </is>
      </c>
      <c r="F62" s="3" t="inlineStr">
        <is>
          <t>DKI Jakarta</t>
        </is>
      </c>
      <c r="G62" s="3" t="inlineStr">
        <is>
          <t>Servis AC Mobil</t>
        </is>
      </c>
      <c r="H62" s="2" t="inlineStr">
        <is>
          <t>AC</t>
        </is>
      </c>
      <c r="I62" s="3" t="inlineStr">
        <is>
          <t>Irfan Maulana</t>
        </is>
      </c>
      <c r="J62" s="3" t="inlineStr">
        <is>
          <t>ATC Level 2</t>
        </is>
      </c>
      <c r="K62" s="3" t="inlineStr">
        <is>
          <t>Suzuki</t>
        </is>
      </c>
      <c r="L62" s="3" t="inlineStr">
        <is>
          <t>XL7</t>
        </is>
      </c>
      <c r="M62" s="2" t="n">
        <v>2022</v>
      </c>
      <c r="N62" s="2" t="n">
        <v>1.1</v>
      </c>
      <c r="O62" s="4" t="n">
        <v>162000</v>
      </c>
      <c r="P62" s="4" t="n">
        <v>1225000</v>
      </c>
      <c r="Q62" s="4">
        <f>O62+P62</f>
        <v/>
      </c>
      <c r="R62" s="2" t="n">
        <v>3.9</v>
      </c>
      <c r="S62" s="3" t="inlineStr">
        <is>
          <t>Selesai</t>
        </is>
      </c>
      <c r="T62" s="3" t="inlineStr">
        <is>
          <t>Tindak lanjut servis sebelumnya</t>
        </is>
      </c>
    </row>
    <row r="63">
      <c r="A63" s="5" t="n">
        <v>62</v>
      </c>
      <c r="B63" s="6" t="inlineStr">
        <is>
          <t>MTO-202402-0062</t>
        </is>
      </c>
      <c r="C63" s="5" t="inlineStr">
        <is>
          <t>2024-02-13</t>
        </is>
      </c>
      <c r="D63" s="6" t="inlineStr">
        <is>
          <t>Auto2000 Jakarta Selatan</t>
        </is>
      </c>
      <c r="E63" s="6" t="inlineStr">
        <is>
          <t>Jakarta Selatan</t>
        </is>
      </c>
      <c r="F63" s="6" t="inlineStr">
        <is>
          <t>DKI Jakarta</t>
        </is>
      </c>
      <c r="G63" s="6" t="inlineStr">
        <is>
          <t>Servis Rem</t>
        </is>
      </c>
      <c r="H63" s="5" t="inlineStr">
        <is>
          <t>Non-AC</t>
        </is>
      </c>
      <c r="I63" s="6" t="inlineStr">
        <is>
          <t>Hendra Wijaya</t>
        </is>
      </c>
      <c r="J63" s="6" t="inlineStr">
        <is>
          <t>ATC Level 1</t>
        </is>
      </c>
      <c r="K63" s="6" t="inlineStr">
        <is>
          <t>Honda</t>
        </is>
      </c>
      <c r="L63" s="6" t="inlineStr">
        <is>
          <t>Brio</t>
        </is>
      </c>
      <c r="M63" s="5" t="n">
        <v>2021</v>
      </c>
      <c r="N63" s="5" t="n">
        <v>3.2</v>
      </c>
      <c r="O63" s="7" t="n">
        <v>740000</v>
      </c>
      <c r="P63" s="7" t="n">
        <v>1339000</v>
      </c>
      <c r="Q63" s="7">
        <f>O63+P63</f>
        <v/>
      </c>
      <c r="R63" s="5" t="n">
        <v>4.5</v>
      </c>
      <c r="S63" s="6" t="inlineStr">
        <is>
          <t>Selesai</t>
        </is>
      </c>
      <c r="T63" s="6" t="inlineStr">
        <is>
          <t>Servis darurat - kendaraan mogok</t>
        </is>
      </c>
    </row>
    <row r="64">
      <c r="A64" s="2" t="n">
        <v>63</v>
      </c>
      <c r="B64" s="3" t="inlineStr">
        <is>
          <t>MTO-202410-0063</t>
        </is>
      </c>
      <c r="C64" s="2" t="inlineStr">
        <is>
          <t>2024-10-18</t>
        </is>
      </c>
      <c r="D64" s="3" t="inlineStr">
        <is>
          <t>Honda Surabaya Center</t>
        </is>
      </c>
      <c r="E64" s="3" t="inlineStr">
        <is>
          <t>Surabaya</t>
        </is>
      </c>
      <c r="F64" s="3" t="inlineStr">
        <is>
          <t>Jawa Timur</t>
        </is>
      </c>
      <c r="G64" s="3" t="inlineStr">
        <is>
          <t>Servis Non-AC (Tune Up)</t>
        </is>
      </c>
      <c r="H64" s="2" t="inlineStr">
        <is>
          <t>Non-AC</t>
        </is>
      </c>
      <c r="I64" s="3" t="inlineStr">
        <is>
          <t>Irfan Maulana</t>
        </is>
      </c>
      <c r="J64" s="3" t="inlineStr">
        <is>
          <t>ATC Level 2</t>
        </is>
      </c>
      <c r="K64" s="3" t="inlineStr">
        <is>
          <t>Wuling</t>
        </is>
      </c>
      <c r="L64" s="3" t="inlineStr">
        <is>
          <t>Air ev</t>
        </is>
      </c>
      <c r="M64" s="2" t="n">
        <v>2023</v>
      </c>
      <c r="N64" s="2" t="n">
        <v>2.6</v>
      </c>
      <c r="O64" s="4" t="n">
        <v>603000</v>
      </c>
      <c r="P64" s="4" t="n">
        <v>658000</v>
      </c>
      <c r="Q64" s="4">
        <f>O64+P64</f>
        <v/>
      </c>
      <c r="R64" s="2" t="n">
        <v>4.8</v>
      </c>
      <c r="S64" s="3" t="inlineStr">
        <is>
          <t>Pending</t>
        </is>
      </c>
      <c r="T64" s="3" t="inlineStr">
        <is>
          <t>Servis darurat - kendaraan mogok</t>
        </is>
      </c>
    </row>
    <row r="65">
      <c r="A65" s="5" t="n">
        <v>64</v>
      </c>
      <c r="B65" s="6" t="inlineStr">
        <is>
          <t>MTO-202401-0064</t>
        </is>
      </c>
      <c r="C65" s="5" t="inlineStr">
        <is>
          <t>2024-01-02</t>
        </is>
      </c>
      <c r="D65" s="6" t="inlineStr">
        <is>
          <t>Wuling Denpasar Sunset</t>
        </is>
      </c>
      <c r="E65" s="6" t="inlineStr">
        <is>
          <t>Denpasar</t>
        </is>
      </c>
      <c r="F65" s="6" t="inlineStr">
        <is>
          <t>Bali</t>
        </is>
      </c>
      <c r="G65" s="6" t="inlineStr">
        <is>
          <t>Servis AC Mobil</t>
        </is>
      </c>
      <c r="H65" s="5" t="inlineStr">
        <is>
          <t>AC</t>
        </is>
      </c>
      <c r="I65" s="6" t="inlineStr">
        <is>
          <t>Joko Susilo</t>
        </is>
      </c>
      <c r="J65" s="6" t="inlineStr">
        <is>
          <t>ATC Level 1</t>
        </is>
      </c>
      <c r="K65" s="6" t="inlineStr">
        <is>
          <t>Honda</t>
        </is>
      </c>
      <c r="L65" s="6" t="inlineStr">
        <is>
          <t>Jazz</t>
        </is>
      </c>
      <c r="M65" s="5" t="n">
        <v>2018</v>
      </c>
      <c r="N65" s="5" t="n">
        <v>2</v>
      </c>
      <c r="O65" s="7" t="n">
        <v>233000</v>
      </c>
      <c r="P65" s="7" t="n">
        <v>371000</v>
      </c>
      <c r="Q65" s="7">
        <f>O65+P65</f>
        <v/>
      </c>
      <c r="R65" s="5" t="n">
        <v>3.9</v>
      </c>
      <c r="S65" s="6" t="inlineStr">
        <is>
          <t>Selesai</t>
        </is>
      </c>
      <c r="T65" s="6" t="inlineStr">
        <is>
          <t>Penggantian komponen aus</t>
        </is>
      </c>
    </row>
    <row r="66">
      <c r="A66" s="2" t="n">
        <v>65</v>
      </c>
      <c r="B66" s="3" t="inlineStr">
        <is>
          <t>MTO-202504-0065</t>
        </is>
      </c>
      <c r="C66" s="2" t="inlineStr">
        <is>
          <t>2025-04-18</t>
        </is>
      </c>
      <c r="D66" s="3" t="inlineStr">
        <is>
          <t>Nissan Makassar Urip</t>
        </is>
      </c>
      <c r="E66" s="3" t="inlineStr">
        <is>
          <t>Makassar</t>
        </is>
      </c>
      <c r="F66" s="3" t="inlineStr">
        <is>
          <t>Sulawesi Selatan</t>
        </is>
      </c>
      <c r="G66" s="3" t="inlineStr">
        <is>
          <t>Pembersihan Evaporator</t>
        </is>
      </c>
      <c r="H66" s="2" t="inlineStr">
        <is>
          <t>AC</t>
        </is>
      </c>
      <c r="I66" s="3" t="inlineStr">
        <is>
          <t>Joko Susilo</t>
        </is>
      </c>
      <c r="J66" s="3" t="inlineStr">
        <is>
          <t>ATC Level 1</t>
        </is>
      </c>
      <c r="K66" s="3" t="inlineStr">
        <is>
          <t>Hyundai</t>
        </is>
      </c>
      <c r="L66" s="3" t="inlineStr">
        <is>
          <t>Stargazer</t>
        </is>
      </c>
      <c r="M66" s="2" t="n">
        <v>2015</v>
      </c>
      <c r="N66" s="2" t="n">
        <v>1.8</v>
      </c>
      <c r="O66" s="4" t="n">
        <v>439000</v>
      </c>
      <c r="P66" s="4" t="n">
        <v>1489000</v>
      </c>
      <c r="Q66" s="4">
        <f>O66+P66</f>
        <v/>
      </c>
      <c r="R66" s="2" t="n">
        <v>4.8</v>
      </c>
      <c r="S66" s="3" t="inlineStr">
        <is>
          <t>Selesai</t>
        </is>
      </c>
      <c r="T66" s="3" t="inlineStr">
        <is>
          <t>Inspeksi berkala 10.000 km</t>
        </is>
      </c>
    </row>
    <row r="67">
      <c r="A67" s="5" t="n">
        <v>66</v>
      </c>
      <c r="B67" s="6" t="inlineStr">
        <is>
          <t>MTO-202410-0066</t>
        </is>
      </c>
      <c r="C67" s="5" t="inlineStr">
        <is>
          <t>2024-10-31</t>
        </is>
      </c>
      <c r="D67" s="6" t="inlineStr">
        <is>
          <t>Toyota Yogyakarta Magelang</t>
        </is>
      </c>
      <c r="E67" s="6" t="inlineStr">
        <is>
          <t>Yogyakarta</t>
        </is>
      </c>
      <c r="F67" s="6" t="inlineStr">
        <is>
          <t>DI Yogyakarta</t>
        </is>
      </c>
      <c r="G67" s="6" t="inlineStr">
        <is>
          <t>Pemeriksaan Kelistrikan</t>
        </is>
      </c>
      <c r="H67" s="5" t="inlineStr">
        <is>
          <t>Non-AC</t>
        </is>
      </c>
      <c r="I67" s="6" t="inlineStr">
        <is>
          <t>Gunawan Hadi</t>
        </is>
      </c>
      <c r="J67" s="6" t="inlineStr">
        <is>
          <t>ATC Level 3</t>
        </is>
      </c>
      <c r="K67" s="6" t="inlineStr">
        <is>
          <t>Honda</t>
        </is>
      </c>
      <c r="L67" s="6" t="inlineStr">
        <is>
          <t>Mobilio</t>
        </is>
      </c>
      <c r="M67" s="5" t="n">
        <v>2018</v>
      </c>
      <c r="N67" s="5" t="n">
        <v>4.1</v>
      </c>
      <c r="O67" s="7" t="n">
        <v>422000</v>
      </c>
      <c r="P67" s="7" t="n">
        <v>1742000</v>
      </c>
      <c r="Q67" s="7">
        <f>O67+P67</f>
        <v/>
      </c>
      <c r="R67" s="5" t="n">
        <v>3.7</v>
      </c>
      <c r="S67" s="6" t="inlineStr">
        <is>
          <t>Selesai</t>
        </is>
      </c>
      <c r="T67" s="6" t="inlineStr">
        <is>
          <t>Servis darurat - kendaraan mogok</t>
        </is>
      </c>
    </row>
    <row r="68">
      <c r="A68" s="2" t="n">
        <v>67</v>
      </c>
      <c r="B68" s="3" t="inlineStr">
        <is>
          <t>MTO-202503-0067</t>
        </is>
      </c>
      <c r="C68" s="2" t="inlineStr">
        <is>
          <t>2025-03-31</t>
        </is>
      </c>
      <c r="D68" s="3" t="inlineStr">
        <is>
          <t>Honda Bekasi Galaxy</t>
        </is>
      </c>
      <c r="E68" s="3" t="inlineStr">
        <is>
          <t>Bekasi</t>
        </is>
      </c>
      <c r="F68" s="3" t="inlineStr">
        <is>
          <t>Jawa Barat</t>
        </is>
      </c>
      <c r="G68" s="3" t="inlineStr">
        <is>
          <t>Servis Rem</t>
        </is>
      </c>
      <c r="H68" s="2" t="inlineStr">
        <is>
          <t>Non-AC</t>
        </is>
      </c>
      <c r="I68" s="3" t="inlineStr">
        <is>
          <t>Hendra Wijaya</t>
        </is>
      </c>
      <c r="J68" s="3" t="inlineStr">
        <is>
          <t>ATC Level 1</t>
        </is>
      </c>
      <c r="K68" s="3" t="inlineStr">
        <is>
          <t>Honda</t>
        </is>
      </c>
      <c r="L68" s="3" t="inlineStr">
        <is>
          <t>HR-V</t>
        </is>
      </c>
      <c r="M68" s="2" t="n">
        <v>2019</v>
      </c>
      <c r="N68" s="2" t="n">
        <v>4.3</v>
      </c>
      <c r="O68" s="4" t="n">
        <v>428000</v>
      </c>
      <c r="P68" s="4" t="n">
        <v>1074000</v>
      </c>
      <c r="Q68" s="4">
        <f>O68+P68</f>
        <v/>
      </c>
      <c r="R68" s="2" t="n">
        <v>4.3</v>
      </c>
      <c r="S68" s="3" t="inlineStr">
        <is>
          <t>Selesai</t>
        </is>
      </c>
      <c r="T68" s="3" t="inlineStr">
        <is>
          <t>Servis rutin terjadwal</t>
        </is>
      </c>
    </row>
    <row r="69">
      <c r="A69" s="5" t="n">
        <v>68</v>
      </c>
      <c r="B69" s="6" t="inlineStr">
        <is>
          <t>MTO-202501-0068</t>
        </is>
      </c>
      <c r="C69" s="5" t="inlineStr">
        <is>
          <t>2025-01-26</t>
        </is>
      </c>
      <c r="D69" s="6" t="inlineStr">
        <is>
          <t>Nissan Makassar Urip</t>
        </is>
      </c>
      <c r="E69" s="6" t="inlineStr">
        <is>
          <t>Makassar</t>
        </is>
      </c>
      <c r="F69" s="6" t="inlineStr">
        <is>
          <t>Sulawesi Selatan</t>
        </is>
      </c>
      <c r="G69" s="6" t="inlineStr">
        <is>
          <t>Ganti Freon AC</t>
        </is>
      </c>
      <c r="H69" s="5" t="inlineStr">
        <is>
          <t>AC</t>
        </is>
      </c>
      <c r="I69" s="6" t="inlineStr">
        <is>
          <t>Joko Susilo</t>
        </is>
      </c>
      <c r="J69" s="6" t="inlineStr">
        <is>
          <t>ATC Level 1</t>
        </is>
      </c>
      <c r="K69" s="6" t="inlineStr">
        <is>
          <t>Suzuki</t>
        </is>
      </c>
      <c r="L69" s="6" t="inlineStr">
        <is>
          <t>Ertiga</t>
        </is>
      </c>
      <c r="M69" s="5" t="n">
        <v>2016</v>
      </c>
      <c r="N69" s="5" t="n">
        <v>1.8</v>
      </c>
      <c r="O69" s="7" t="n">
        <v>840000</v>
      </c>
      <c r="P69" s="7" t="n">
        <v>1762000</v>
      </c>
      <c r="Q69" s="7">
        <f>O69+P69</f>
        <v/>
      </c>
      <c r="R69" s="5" t="n">
        <v>4.8</v>
      </c>
      <c r="S69" s="6" t="inlineStr">
        <is>
          <t>Dalam Proses</t>
        </is>
      </c>
      <c r="T69" s="6" t="inlineStr">
        <is>
          <t>Servis rutin terjadwal</t>
        </is>
      </c>
    </row>
    <row r="70">
      <c r="A70" s="2" t="n">
        <v>69</v>
      </c>
      <c r="B70" s="3" t="inlineStr">
        <is>
          <t>MTO-202411-0069</t>
        </is>
      </c>
      <c r="C70" s="2" t="inlineStr">
        <is>
          <t>2024-11-21</t>
        </is>
      </c>
      <c r="D70" s="3" t="inlineStr">
        <is>
          <t>Auto2000 Tangerang Selatan</t>
        </is>
      </c>
      <c r="E70" s="3" t="inlineStr">
        <is>
          <t>Tangerang Selatan</t>
        </is>
      </c>
      <c r="F70" s="3" t="inlineStr">
        <is>
          <t>Banten</t>
        </is>
      </c>
      <c r="G70" s="3" t="inlineStr">
        <is>
          <t>Servis Rem</t>
        </is>
      </c>
      <c r="H70" s="2" t="inlineStr">
        <is>
          <t>Non-AC</t>
        </is>
      </c>
      <c r="I70" s="3" t="inlineStr">
        <is>
          <t>Joko Susilo</t>
        </is>
      </c>
      <c r="J70" s="3" t="inlineStr">
        <is>
          <t>ATC Level 1</t>
        </is>
      </c>
      <c r="K70" s="3" t="inlineStr">
        <is>
          <t>Toyota</t>
        </is>
      </c>
      <c r="L70" s="3" t="inlineStr">
        <is>
          <t>Innova</t>
        </is>
      </c>
      <c r="M70" s="2" t="n">
        <v>2022</v>
      </c>
      <c r="N70" s="2" t="n">
        <v>3.4</v>
      </c>
      <c r="O70" s="4" t="n">
        <v>602000</v>
      </c>
      <c r="P70" s="4" t="n">
        <v>1926000</v>
      </c>
      <c r="Q70" s="4">
        <f>O70+P70</f>
        <v/>
      </c>
      <c r="R70" s="2" t="n">
        <v>3.9</v>
      </c>
      <c r="S70" s="3" t="inlineStr">
        <is>
          <t>Pending</t>
        </is>
      </c>
      <c r="T70" s="3" t="inlineStr">
        <is>
          <t>Garansi komponen baru</t>
        </is>
      </c>
    </row>
    <row r="71">
      <c r="A71" s="5" t="n">
        <v>70</v>
      </c>
      <c r="B71" s="6" t="inlineStr">
        <is>
          <t>MTO-202405-0070</t>
        </is>
      </c>
      <c r="C71" s="5" t="inlineStr">
        <is>
          <t>2024-05-27</t>
        </is>
      </c>
      <c r="D71" s="6" t="inlineStr">
        <is>
          <t>Mitsubishi Bogor Pajajaran</t>
        </is>
      </c>
      <c r="E71" s="6" t="inlineStr">
        <is>
          <t>Bogor</t>
        </is>
      </c>
      <c r="F71" s="6" t="inlineStr">
        <is>
          <t>Jawa Barat</t>
        </is>
      </c>
      <c r="G71" s="6" t="inlineStr">
        <is>
          <t>Pembersihan Evaporator</t>
        </is>
      </c>
      <c r="H71" s="5" t="inlineStr">
        <is>
          <t>AC</t>
        </is>
      </c>
      <c r="I71" s="6" t="inlineStr">
        <is>
          <t>Budi Santoso</t>
        </is>
      </c>
      <c r="J71" s="6" t="inlineStr">
        <is>
          <t>ATC Level 1</t>
        </is>
      </c>
      <c r="K71" s="6" t="inlineStr">
        <is>
          <t>Hyundai</t>
        </is>
      </c>
      <c r="L71" s="6" t="inlineStr">
        <is>
          <t>Stargazer</t>
        </is>
      </c>
      <c r="M71" s="5" t="n">
        <v>2021</v>
      </c>
      <c r="N71" s="5" t="n">
        <v>2.3</v>
      </c>
      <c r="O71" s="7" t="n">
        <v>836000</v>
      </c>
      <c r="P71" s="7" t="n">
        <v>264000</v>
      </c>
      <c r="Q71" s="7">
        <f>O71+P71</f>
        <v/>
      </c>
      <c r="R71" s="5" t="n">
        <v>4.8</v>
      </c>
      <c r="S71" s="6" t="inlineStr">
        <is>
          <t>Selesai</t>
        </is>
      </c>
      <c r="T71" s="6" t="inlineStr">
        <is>
          <t>Servis pre-delivery inspection</t>
        </is>
      </c>
    </row>
    <row r="72">
      <c r="A72" s="2" t="n">
        <v>71</v>
      </c>
      <c r="B72" s="3" t="inlineStr">
        <is>
          <t>MTO-202412-0071</t>
        </is>
      </c>
      <c r="C72" s="2" t="inlineStr">
        <is>
          <t>2024-12-02</t>
        </is>
      </c>
      <c r="D72" s="3" t="inlineStr">
        <is>
          <t>Auto2000 Tangerang Selatan</t>
        </is>
      </c>
      <c r="E72" s="3" t="inlineStr">
        <is>
          <t>Tangerang Selatan</t>
        </is>
      </c>
      <c r="F72" s="3" t="inlineStr">
        <is>
          <t>Banten</t>
        </is>
      </c>
      <c r="G72" s="3" t="inlineStr">
        <is>
          <t>Overhaul AC</t>
        </is>
      </c>
      <c r="H72" s="2" t="inlineStr">
        <is>
          <t>AC</t>
        </is>
      </c>
      <c r="I72" s="3" t="inlineStr">
        <is>
          <t>Irfan Maulana</t>
        </is>
      </c>
      <c r="J72" s="3" t="inlineStr">
        <is>
          <t>ATC Level 2</t>
        </is>
      </c>
      <c r="K72" s="3" t="inlineStr">
        <is>
          <t>Toyota</t>
        </is>
      </c>
      <c r="L72" s="3" t="inlineStr">
        <is>
          <t>Calya</t>
        </is>
      </c>
      <c r="M72" s="2" t="n">
        <v>2016</v>
      </c>
      <c r="N72" s="2" t="n">
        <v>2.2</v>
      </c>
      <c r="O72" s="4" t="n">
        <v>481000</v>
      </c>
      <c r="P72" s="4" t="n">
        <v>287000</v>
      </c>
      <c r="Q72" s="4">
        <f>O72+P72</f>
        <v/>
      </c>
      <c r="R72" s="2" t="n">
        <v>5</v>
      </c>
      <c r="S72" s="3" t="inlineStr">
        <is>
          <t>Selesai</t>
        </is>
      </c>
      <c r="T72" s="3" t="inlineStr">
        <is>
          <t>Servis rutin terjadwal</t>
        </is>
      </c>
    </row>
    <row r="73">
      <c r="A73" s="5" t="n">
        <v>72</v>
      </c>
      <c r="B73" s="6" t="inlineStr">
        <is>
          <t>MTO-202404-0072</t>
        </is>
      </c>
      <c r="C73" s="5" t="inlineStr">
        <is>
          <t>2024-04-14</t>
        </is>
      </c>
      <c r="D73" s="6" t="inlineStr">
        <is>
          <t>Mitsubishi Bogor Pajajaran</t>
        </is>
      </c>
      <c r="E73" s="6" t="inlineStr">
        <is>
          <t>Bogor</t>
        </is>
      </c>
      <c r="F73" s="6" t="inlineStr">
        <is>
          <t>Jawa Barat</t>
        </is>
      </c>
      <c r="G73" s="6" t="inlineStr">
        <is>
          <t>Servis Transmisi</t>
        </is>
      </c>
      <c r="H73" s="5" t="inlineStr">
        <is>
          <t>Non-AC</t>
        </is>
      </c>
      <c r="I73" s="6" t="inlineStr">
        <is>
          <t>Hendra Wijaya</t>
        </is>
      </c>
      <c r="J73" s="6" t="inlineStr">
        <is>
          <t>ATC Level 1</t>
        </is>
      </c>
      <c r="K73" s="6" t="inlineStr">
        <is>
          <t>Wuling</t>
        </is>
      </c>
      <c r="L73" s="6" t="inlineStr">
        <is>
          <t>Almaz</t>
        </is>
      </c>
      <c r="M73" s="5" t="n">
        <v>2018</v>
      </c>
      <c r="N73" s="5" t="n">
        <v>3.4</v>
      </c>
      <c r="O73" s="7" t="n">
        <v>787000</v>
      </c>
      <c r="P73" s="7" t="n">
        <v>1599000</v>
      </c>
      <c r="Q73" s="7">
        <f>O73+P73</f>
        <v/>
      </c>
      <c r="R73" s="5" t="n">
        <v>4.2</v>
      </c>
      <c r="S73" s="6" t="inlineStr">
        <is>
          <t>Selesai</t>
        </is>
      </c>
      <c r="T73" s="6" t="inlineStr">
        <is>
          <t>Servis rutin terjadwal</t>
        </is>
      </c>
    </row>
    <row r="74">
      <c r="A74" s="2" t="n">
        <v>73</v>
      </c>
      <c r="B74" s="3" t="inlineStr">
        <is>
          <t>MTO-202410-0073</t>
        </is>
      </c>
      <c r="C74" s="2" t="inlineStr">
        <is>
          <t>2024-10-09</t>
        </is>
      </c>
      <c r="D74" s="3" t="inlineStr">
        <is>
          <t>Toyota Yogyakarta Magelang</t>
        </is>
      </c>
      <c r="E74" s="3" t="inlineStr">
        <is>
          <t>Yogyakarta</t>
        </is>
      </c>
      <c r="F74" s="3" t="inlineStr">
        <is>
          <t>DI Yogyakarta</t>
        </is>
      </c>
      <c r="G74" s="3" t="inlineStr">
        <is>
          <t>Servis Transmisi</t>
        </is>
      </c>
      <c r="H74" s="2" t="inlineStr">
        <is>
          <t>Non-AC</t>
        </is>
      </c>
      <c r="I74" s="3" t="inlineStr">
        <is>
          <t>Cahyo Purnomo</t>
        </is>
      </c>
      <c r="J74" s="3" t="inlineStr">
        <is>
          <t>ATC Level 3</t>
        </is>
      </c>
      <c r="K74" s="3" t="inlineStr">
        <is>
          <t>Suzuki</t>
        </is>
      </c>
      <c r="L74" s="3" t="inlineStr">
        <is>
          <t>Baleno</t>
        </is>
      </c>
      <c r="M74" s="2" t="n">
        <v>2022</v>
      </c>
      <c r="N74" s="2" t="n">
        <v>1.2</v>
      </c>
      <c r="O74" s="4" t="n">
        <v>795000</v>
      </c>
      <c r="P74" s="4" t="n">
        <v>1296000</v>
      </c>
      <c r="Q74" s="4">
        <f>O74+P74</f>
        <v/>
      </c>
      <c r="R74" s="2" t="n">
        <v>4.7</v>
      </c>
      <c r="S74" s="3" t="inlineStr">
        <is>
          <t>Selesai</t>
        </is>
      </c>
      <c r="T74" s="3" t="inlineStr">
        <is>
          <t>Servis darurat - kendaraan mogok</t>
        </is>
      </c>
    </row>
    <row r="75">
      <c r="A75" s="5" t="n">
        <v>74</v>
      </c>
      <c r="B75" s="6" t="inlineStr">
        <is>
          <t>MTO-202409-0074</t>
        </is>
      </c>
      <c r="C75" s="5" t="inlineStr">
        <is>
          <t>2024-09-17</t>
        </is>
      </c>
      <c r="D75" s="6" t="inlineStr">
        <is>
          <t>Auto2000 Jakarta Selatan</t>
        </is>
      </c>
      <c r="E75" s="6" t="inlineStr">
        <is>
          <t>Jakarta Selatan</t>
        </is>
      </c>
      <c r="F75" s="6" t="inlineStr">
        <is>
          <t>DKI Jakarta</t>
        </is>
      </c>
      <c r="G75" s="6" t="inlineStr">
        <is>
          <t>Servis Transmisi</t>
        </is>
      </c>
      <c r="H75" s="5" t="inlineStr">
        <is>
          <t>Non-AC</t>
        </is>
      </c>
      <c r="I75" s="6" t="inlineStr">
        <is>
          <t>Gunawan Hadi</t>
        </is>
      </c>
      <c r="J75" s="6" t="inlineStr">
        <is>
          <t>ATC Level 3</t>
        </is>
      </c>
      <c r="K75" s="6" t="inlineStr">
        <is>
          <t>Honda</t>
        </is>
      </c>
      <c r="L75" s="6" t="inlineStr">
        <is>
          <t>Jazz</t>
        </is>
      </c>
      <c r="M75" s="5" t="n">
        <v>2016</v>
      </c>
      <c r="N75" s="5" t="n">
        <v>3</v>
      </c>
      <c r="O75" s="7" t="n">
        <v>270000</v>
      </c>
      <c r="P75" s="7" t="n">
        <v>1376000</v>
      </c>
      <c r="Q75" s="7">
        <f>O75+P75</f>
        <v/>
      </c>
      <c r="R75" s="5" t="n">
        <v>4.7</v>
      </c>
      <c r="S75" s="6" t="inlineStr">
        <is>
          <t>Selesai</t>
        </is>
      </c>
      <c r="T75" s="6" t="inlineStr">
        <is>
          <t>Servis darurat - kendaraan mogok</t>
        </is>
      </c>
    </row>
    <row r="76">
      <c r="A76" s="2" t="n">
        <v>75</v>
      </c>
      <c r="B76" s="3" t="inlineStr">
        <is>
          <t>MTO-202503-0075</t>
        </is>
      </c>
      <c r="C76" s="2" t="inlineStr">
        <is>
          <t>2025-03-18</t>
        </is>
      </c>
      <c r="D76" s="3" t="inlineStr">
        <is>
          <t>Honda Bekasi Galaxy</t>
        </is>
      </c>
      <c r="E76" s="3" t="inlineStr">
        <is>
          <t>Bekasi</t>
        </is>
      </c>
      <c r="F76" s="3" t="inlineStr">
        <is>
          <t>Jawa Barat</t>
        </is>
      </c>
      <c r="G76" s="3" t="inlineStr">
        <is>
          <t>Servis Rem</t>
        </is>
      </c>
      <c r="H76" s="2" t="inlineStr">
        <is>
          <t>Non-AC</t>
        </is>
      </c>
      <c r="I76" s="3" t="inlineStr">
        <is>
          <t>Gunawan Hadi</t>
        </is>
      </c>
      <c r="J76" s="3" t="inlineStr">
        <is>
          <t>ATC Level 3</t>
        </is>
      </c>
      <c r="K76" s="3" t="inlineStr">
        <is>
          <t>Hyundai</t>
        </is>
      </c>
      <c r="L76" s="3" t="inlineStr">
        <is>
          <t>Santa Fe</t>
        </is>
      </c>
      <c r="M76" s="2" t="n">
        <v>2018</v>
      </c>
      <c r="N76" s="2" t="n">
        <v>3</v>
      </c>
      <c r="O76" s="4" t="n">
        <v>298000</v>
      </c>
      <c r="P76" s="4" t="n">
        <v>835000</v>
      </c>
      <c r="Q76" s="4">
        <f>O76+P76</f>
        <v/>
      </c>
      <c r="R76" s="2" t="n">
        <v>3.8</v>
      </c>
      <c r="S76" s="3" t="inlineStr">
        <is>
          <t>Selesai</t>
        </is>
      </c>
      <c r="T76" s="3" t="inlineStr">
        <is>
          <t>Penggantian komponen aus</t>
        </is>
      </c>
    </row>
    <row r="77">
      <c r="A77" s="5" t="n">
        <v>76</v>
      </c>
      <c r="B77" s="6" t="inlineStr">
        <is>
          <t>MTO-202503-0076</t>
        </is>
      </c>
      <c r="C77" s="5" t="inlineStr">
        <is>
          <t>2025-03-19</t>
        </is>
      </c>
      <c r="D77" s="6" t="inlineStr">
        <is>
          <t>Nasmoco Semarang Pemuda</t>
        </is>
      </c>
      <c r="E77" s="6" t="inlineStr">
        <is>
          <t>Semarang</t>
        </is>
      </c>
      <c r="F77" s="6" t="inlineStr">
        <is>
          <t>Jawa Tengah</t>
        </is>
      </c>
      <c r="G77" s="6" t="inlineStr">
        <is>
          <t>Servis Rem</t>
        </is>
      </c>
      <c r="H77" s="5" t="inlineStr">
        <is>
          <t>Non-AC</t>
        </is>
      </c>
      <c r="I77" s="6" t="inlineStr">
        <is>
          <t>Gunawan Hadi</t>
        </is>
      </c>
      <c r="J77" s="6" t="inlineStr">
        <is>
          <t>ATC Level 3</t>
        </is>
      </c>
      <c r="K77" s="6" t="inlineStr">
        <is>
          <t>Nissan</t>
        </is>
      </c>
      <c r="L77" s="6" t="inlineStr">
        <is>
          <t>X-Trail</t>
        </is>
      </c>
      <c r="M77" s="5" t="n">
        <v>2015</v>
      </c>
      <c r="N77" s="5" t="n">
        <v>2.1</v>
      </c>
      <c r="O77" s="7" t="n">
        <v>455000</v>
      </c>
      <c r="P77" s="7" t="n">
        <v>1765000</v>
      </c>
      <c r="Q77" s="7">
        <f>O77+P77</f>
        <v/>
      </c>
      <c r="R77" s="5" t="n">
        <v>4.4</v>
      </c>
      <c r="S77" s="6" t="inlineStr">
        <is>
          <t>Pending</t>
        </is>
      </c>
      <c r="T77" s="6" t="inlineStr">
        <is>
          <t>Servis pre-delivery inspection</t>
        </is>
      </c>
    </row>
    <row r="78">
      <c r="A78" s="2" t="n">
        <v>77</v>
      </c>
      <c r="B78" s="3" t="inlineStr">
        <is>
          <t>MTO-202412-0077</t>
        </is>
      </c>
      <c r="C78" s="2" t="inlineStr">
        <is>
          <t>2024-12-23</t>
        </is>
      </c>
      <c r="D78" s="3" t="inlineStr">
        <is>
          <t>Astra Daihatsu Bandung Soekarno-Hatta</t>
        </is>
      </c>
      <c r="E78" s="3" t="inlineStr">
        <is>
          <t>Bandung</t>
        </is>
      </c>
      <c r="F78" s="3" t="inlineStr">
        <is>
          <t>Jawa Barat</t>
        </is>
      </c>
      <c r="G78" s="3" t="inlineStr">
        <is>
          <t>Pembersihan Evaporator</t>
        </is>
      </c>
      <c r="H78" s="2" t="inlineStr">
        <is>
          <t>AC</t>
        </is>
      </c>
      <c r="I78" s="3" t="inlineStr">
        <is>
          <t>Irfan Maulana</t>
        </is>
      </c>
      <c r="J78" s="3" t="inlineStr">
        <is>
          <t>ATC Level 2</t>
        </is>
      </c>
      <c r="K78" s="3" t="inlineStr">
        <is>
          <t>Hyundai</t>
        </is>
      </c>
      <c r="L78" s="3" t="inlineStr">
        <is>
          <t>Stargazer</t>
        </is>
      </c>
      <c r="M78" s="2" t="n">
        <v>2020</v>
      </c>
      <c r="N78" s="2" t="n">
        <v>3.5</v>
      </c>
      <c r="O78" s="4" t="n">
        <v>706000</v>
      </c>
      <c r="P78" s="4" t="n">
        <v>822000</v>
      </c>
      <c r="Q78" s="4">
        <f>O78+P78</f>
        <v/>
      </c>
      <c r="R78" s="2" t="n">
        <v>4.2</v>
      </c>
      <c r="S78" s="3" t="inlineStr">
        <is>
          <t>Selesai</t>
        </is>
      </c>
      <c r="T78" s="3" t="inlineStr">
        <is>
          <t>Inspeksi berkala 10.000 km</t>
        </is>
      </c>
    </row>
    <row r="79">
      <c r="A79" s="5" t="n">
        <v>78</v>
      </c>
      <c r="B79" s="6" t="inlineStr">
        <is>
          <t>MTO-202409-0078</t>
        </is>
      </c>
      <c r="C79" s="5" t="inlineStr">
        <is>
          <t>2024-09-10</t>
        </is>
      </c>
      <c r="D79" s="6" t="inlineStr">
        <is>
          <t>Honda Surabaya Center</t>
        </is>
      </c>
      <c r="E79" s="6" t="inlineStr">
        <is>
          <t>Surabaya</t>
        </is>
      </c>
      <c r="F79" s="6" t="inlineStr">
        <is>
          <t>Jawa Timur</t>
        </is>
      </c>
      <c r="G79" s="6" t="inlineStr">
        <is>
          <t>Overhaul AC</t>
        </is>
      </c>
      <c r="H79" s="5" t="inlineStr">
        <is>
          <t>AC</t>
        </is>
      </c>
      <c r="I79" s="6" t="inlineStr">
        <is>
          <t>Dwi Rahmadi</t>
        </is>
      </c>
      <c r="J79" s="6" t="inlineStr">
        <is>
          <t>ATC Level 2</t>
        </is>
      </c>
      <c r="K79" s="6" t="inlineStr">
        <is>
          <t>Wuling</t>
        </is>
      </c>
      <c r="L79" s="6" t="inlineStr">
        <is>
          <t>Almaz</t>
        </is>
      </c>
      <c r="M79" s="5" t="n">
        <v>2020</v>
      </c>
      <c r="N79" s="5" t="n">
        <v>4.6</v>
      </c>
      <c r="O79" s="7" t="n">
        <v>540000</v>
      </c>
      <c r="P79" s="7" t="n">
        <v>840000</v>
      </c>
      <c r="Q79" s="7">
        <f>O79+P79</f>
        <v/>
      </c>
      <c r="R79" s="5" t="n">
        <v>5</v>
      </c>
      <c r="S79" s="6" t="inlineStr">
        <is>
          <t>Selesai</t>
        </is>
      </c>
      <c r="T79" s="6" t="inlineStr">
        <is>
          <t>Penggantian komponen aus</t>
        </is>
      </c>
    </row>
    <row r="80">
      <c r="A80" s="2" t="n">
        <v>79</v>
      </c>
      <c r="B80" s="3" t="inlineStr">
        <is>
          <t>MTO-202402-0079</t>
        </is>
      </c>
      <c r="C80" s="2" t="inlineStr">
        <is>
          <t>2024-02-08</t>
        </is>
      </c>
      <c r="D80" s="3" t="inlineStr">
        <is>
          <t>Auto2000 Jakarta Selatan</t>
        </is>
      </c>
      <c r="E80" s="3" t="inlineStr">
        <is>
          <t>Jakarta Selatan</t>
        </is>
      </c>
      <c r="F80" s="3" t="inlineStr">
        <is>
          <t>DKI Jakarta</t>
        </is>
      </c>
      <c r="G80" s="3" t="inlineStr">
        <is>
          <t>Ganti Oli &amp; Filter</t>
        </is>
      </c>
      <c r="H80" s="2" t="inlineStr">
        <is>
          <t>AC</t>
        </is>
      </c>
      <c r="I80" s="3" t="inlineStr">
        <is>
          <t>Irfan Maulana</t>
        </is>
      </c>
      <c r="J80" s="3" t="inlineStr">
        <is>
          <t>ATC Level 2</t>
        </is>
      </c>
      <c r="K80" s="3" t="inlineStr">
        <is>
          <t>Nissan</t>
        </is>
      </c>
      <c r="L80" s="3" t="inlineStr">
        <is>
          <t>Livina</t>
        </is>
      </c>
      <c r="M80" s="2" t="n">
        <v>2022</v>
      </c>
      <c r="N80" s="2" t="n">
        <v>1</v>
      </c>
      <c r="O80" s="4" t="n">
        <v>617000</v>
      </c>
      <c r="P80" s="4" t="n">
        <v>81000</v>
      </c>
      <c r="Q80" s="4">
        <f>O80+P80</f>
        <v/>
      </c>
      <c r="R80" s="2" t="n">
        <v>4.6</v>
      </c>
      <c r="S80" s="3" t="inlineStr">
        <is>
          <t>Selesai</t>
        </is>
      </c>
      <c r="T80" s="3" t="inlineStr">
        <is>
          <t>Penggantian komponen aus</t>
        </is>
      </c>
    </row>
    <row r="81">
      <c r="A81" s="5" t="n">
        <v>80</v>
      </c>
      <c r="B81" s="6" t="inlineStr">
        <is>
          <t>MTO-202503-0080</t>
        </is>
      </c>
      <c r="C81" s="5" t="inlineStr">
        <is>
          <t>2025-03-22</t>
        </is>
      </c>
      <c r="D81" s="6" t="inlineStr">
        <is>
          <t>Suzuki Palembang Demang</t>
        </is>
      </c>
      <c r="E81" s="6" t="inlineStr">
        <is>
          <t>Palembang</t>
        </is>
      </c>
      <c r="F81" s="6" t="inlineStr">
        <is>
          <t>Sumatera Selatan</t>
        </is>
      </c>
      <c r="G81" s="6" t="inlineStr">
        <is>
          <t>Servis Rem</t>
        </is>
      </c>
      <c r="H81" s="5" t="inlineStr">
        <is>
          <t>Non-AC</t>
        </is>
      </c>
      <c r="I81" s="6" t="inlineStr">
        <is>
          <t>Fajar Nugroho</t>
        </is>
      </c>
      <c r="J81" s="6" t="inlineStr">
        <is>
          <t>ATC Level 2</t>
        </is>
      </c>
      <c r="K81" s="6" t="inlineStr">
        <is>
          <t>Wuling</t>
        </is>
      </c>
      <c r="L81" s="6" t="inlineStr">
        <is>
          <t>Almaz</t>
        </is>
      </c>
      <c r="M81" s="5" t="n">
        <v>2020</v>
      </c>
      <c r="N81" s="5" t="n">
        <v>5.2</v>
      </c>
      <c r="O81" s="7" t="n">
        <v>696000</v>
      </c>
      <c r="P81" s="7" t="n">
        <v>828000</v>
      </c>
      <c r="Q81" s="7">
        <f>O81+P81</f>
        <v/>
      </c>
      <c r="R81" s="5" t="n">
        <v>4.9</v>
      </c>
      <c r="S81" s="6" t="inlineStr">
        <is>
          <t>Selesai</t>
        </is>
      </c>
      <c r="T81" s="6" t="inlineStr">
        <is>
          <t>Servis pre-delivery inspection</t>
        </is>
      </c>
    </row>
    <row r="82">
      <c r="A82" s="2" t="n">
        <v>81</v>
      </c>
      <c r="B82" s="3" t="inlineStr">
        <is>
          <t>MTO-202408-0081</t>
        </is>
      </c>
      <c r="C82" s="2" t="inlineStr">
        <is>
          <t>2024-08-15</t>
        </is>
      </c>
      <c r="D82" s="3" t="inlineStr">
        <is>
          <t>Daihatsu Balikpapan Sudirman</t>
        </is>
      </c>
      <c r="E82" s="3" t="inlineStr">
        <is>
          <t>Balikpapan</t>
        </is>
      </c>
      <c r="F82" s="3" t="inlineStr">
        <is>
          <t>Kalimantan Timur</t>
        </is>
      </c>
      <c r="G82" s="3" t="inlineStr">
        <is>
          <t>Servis AC Mobil</t>
        </is>
      </c>
      <c r="H82" s="2" t="inlineStr">
        <is>
          <t>AC</t>
        </is>
      </c>
      <c r="I82" s="3" t="inlineStr">
        <is>
          <t>Joko Susilo</t>
        </is>
      </c>
      <c r="J82" s="3" t="inlineStr">
        <is>
          <t>ATC Level 1</t>
        </is>
      </c>
      <c r="K82" s="3" t="inlineStr">
        <is>
          <t>Honda</t>
        </is>
      </c>
      <c r="L82" s="3" t="inlineStr">
        <is>
          <t>Jazz</t>
        </is>
      </c>
      <c r="M82" s="2" t="n">
        <v>2019</v>
      </c>
      <c r="N82" s="2" t="n">
        <v>6</v>
      </c>
      <c r="O82" s="4" t="n">
        <v>242000</v>
      </c>
      <c r="P82" s="4" t="n">
        <v>938000</v>
      </c>
      <c r="Q82" s="4">
        <f>O82+P82</f>
        <v/>
      </c>
      <c r="R82" s="2" t="n">
        <v>5</v>
      </c>
      <c r="S82" s="3" t="inlineStr">
        <is>
          <t>Selesai</t>
        </is>
      </c>
      <c r="T82" s="3" t="inlineStr">
        <is>
          <t>Keluhan pelanggan - AC kurang dingin</t>
        </is>
      </c>
    </row>
    <row r="83">
      <c r="A83" s="5" t="n">
        <v>82</v>
      </c>
      <c r="B83" s="6" t="inlineStr">
        <is>
          <t>MTO-202403-0082</t>
        </is>
      </c>
      <c r="C83" s="5" t="inlineStr">
        <is>
          <t>2024-03-28</t>
        </is>
      </c>
      <c r="D83" s="6" t="inlineStr">
        <is>
          <t>Astra Daihatsu Bandung Soekarno-Hatta</t>
        </is>
      </c>
      <c r="E83" s="6" t="inlineStr">
        <is>
          <t>Bandung</t>
        </is>
      </c>
      <c r="F83" s="6" t="inlineStr">
        <is>
          <t>Jawa Barat</t>
        </is>
      </c>
      <c r="G83" s="6" t="inlineStr">
        <is>
          <t>Servis Rem</t>
        </is>
      </c>
      <c r="H83" s="5" t="inlineStr">
        <is>
          <t>Non-AC</t>
        </is>
      </c>
      <c r="I83" s="6" t="inlineStr">
        <is>
          <t>Ahmad Fauzi</t>
        </is>
      </c>
      <c r="J83" s="6" t="inlineStr">
        <is>
          <t>ATC Level 2</t>
        </is>
      </c>
      <c r="K83" s="6" t="inlineStr">
        <is>
          <t>Toyota</t>
        </is>
      </c>
      <c r="L83" s="6" t="inlineStr">
        <is>
          <t>Fortuner</t>
        </is>
      </c>
      <c r="M83" s="5" t="n">
        <v>2015</v>
      </c>
      <c r="N83" s="5" t="n">
        <v>2.1</v>
      </c>
      <c r="O83" s="7" t="n">
        <v>533000</v>
      </c>
      <c r="P83" s="7" t="n">
        <v>932000</v>
      </c>
      <c r="Q83" s="7">
        <f>O83+P83</f>
        <v/>
      </c>
      <c r="R83" s="5" t="n">
        <v>3.7</v>
      </c>
      <c r="S83" s="6" t="inlineStr">
        <is>
          <t>Selesai</t>
        </is>
      </c>
      <c r="T83" s="6" t="inlineStr">
        <is>
          <t>Penggantian komponen aus</t>
        </is>
      </c>
    </row>
    <row r="84">
      <c r="A84" s="2" t="n">
        <v>83</v>
      </c>
      <c r="B84" s="3" t="inlineStr">
        <is>
          <t>MTO-202412-0083</t>
        </is>
      </c>
      <c r="C84" s="2" t="inlineStr">
        <is>
          <t>2024-12-07</t>
        </is>
      </c>
      <c r="D84" s="3" t="inlineStr">
        <is>
          <t>Astra Daihatsu Bandung Soekarno-Hatta</t>
        </is>
      </c>
      <c r="E84" s="3" t="inlineStr">
        <is>
          <t>Bandung</t>
        </is>
      </c>
      <c r="F84" s="3" t="inlineStr">
        <is>
          <t>Jawa Barat</t>
        </is>
      </c>
      <c r="G84" s="3" t="inlineStr">
        <is>
          <t>Servis Non-AC (Tune Up)</t>
        </is>
      </c>
      <c r="H84" s="2" t="inlineStr">
        <is>
          <t>Non-AC</t>
        </is>
      </c>
      <c r="I84" s="3" t="inlineStr">
        <is>
          <t>Joko Susilo</t>
        </is>
      </c>
      <c r="J84" s="3" t="inlineStr">
        <is>
          <t>ATC Level 1</t>
        </is>
      </c>
      <c r="K84" s="3" t="inlineStr">
        <is>
          <t>Wuling</t>
        </is>
      </c>
      <c r="L84" s="3" t="inlineStr">
        <is>
          <t>Air ev</t>
        </is>
      </c>
      <c r="M84" s="2" t="n">
        <v>2022</v>
      </c>
      <c r="N84" s="2" t="n">
        <v>5.5</v>
      </c>
      <c r="O84" s="4" t="n">
        <v>296000</v>
      </c>
      <c r="P84" s="4" t="n">
        <v>525000</v>
      </c>
      <c r="Q84" s="4">
        <f>O84+P84</f>
        <v/>
      </c>
      <c r="R84" s="2" t="n">
        <v>4.2</v>
      </c>
      <c r="S84" s="3" t="inlineStr">
        <is>
          <t>Selesai</t>
        </is>
      </c>
      <c r="T84" s="3" t="inlineStr">
        <is>
          <t>Servis darurat - kendaraan mogok</t>
        </is>
      </c>
    </row>
    <row r="85">
      <c r="A85" s="5" t="n">
        <v>84</v>
      </c>
      <c r="B85" s="6" t="inlineStr">
        <is>
          <t>MTO-202408-0084</t>
        </is>
      </c>
      <c r="C85" s="5" t="inlineStr">
        <is>
          <t>2024-08-21</t>
        </is>
      </c>
      <c r="D85" s="6" t="inlineStr">
        <is>
          <t>Auto2000 Jakarta Selatan</t>
        </is>
      </c>
      <c r="E85" s="6" t="inlineStr">
        <is>
          <t>Jakarta Selatan</t>
        </is>
      </c>
      <c r="F85" s="6" t="inlineStr">
        <is>
          <t>DKI Jakarta</t>
        </is>
      </c>
      <c r="G85" s="6" t="inlineStr">
        <is>
          <t>Pembersihan Evaporator</t>
        </is>
      </c>
      <c r="H85" s="5" t="inlineStr">
        <is>
          <t>AC</t>
        </is>
      </c>
      <c r="I85" s="6" t="inlineStr">
        <is>
          <t>Eko Prasetyo</t>
        </is>
      </c>
      <c r="J85" s="6" t="inlineStr">
        <is>
          <t>ATC Level 1</t>
        </is>
      </c>
      <c r="K85" s="6" t="inlineStr">
        <is>
          <t>Daihatsu</t>
        </is>
      </c>
      <c r="L85" s="6" t="inlineStr">
        <is>
          <t>Ayla</t>
        </is>
      </c>
      <c r="M85" s="5" t="n">
        <v>2022</v>
      </c>
      <c r="N85" s="5" t="n">
        <v>5.7</v>
      </c>
      <c r="O85" s="7" t="n">
        <v>751000</v>
      </c>
      <c r="P85" s="7" t="n">
        <v>662000</v>
      </c>
      <c r="Q85" s="7">
        <f>O85+P85</f>
        <v/>
      </c>
      <c r="R85" s="5" t="n">
        <v>4.5</v>
      </c>
      <c r="S85" s="6" t="inlineStr">
        <is>
          <t>Selesai</t>
        </is>
      </c>
      <c r="T85" s="6" t="inlineStr">
        <is>
          <t>Servis darurat - kendaraan mogok</t>
        </is>
      </c>
    </row>
    <row r="86">
      <c r="A86" s="2" t="n">
        <v>85</v>
      </c>
      <c r="B86" s="3" t="inlineStr">
        <is>
          <t>MTO-202401-0085</t>
        </is>
      </c>
      <c r="C86" s="2" t="inlineStr">
        <is>
          <t>2024-01-12</t>
        </is>
      </c>
      <c r="D86" s="3" t="inlineStr">
        <is>
          <t>Mitsubishi Bogor Pajajaran</t>
        </is>
      </c>
      <c r="E86" s="3" t="inlineStr">
        <is>
          <t>Bogor</t>
        </is>
      </c>
      <c r="F86" s="3" t="inlineStr">
        <is>
          <t>Jawa Barat</t>
        </is>
      </c>
      <c r="G86" s="3" t="inlineStr">
        <is>
          <t>Servis Rem</t>
        </is>
      </c>
      <c r="H86" s="2" t="inlineStr">
        <is>
          <t>Non-AC</t>
        </is>
      </c>
      <c r="I86" s="3" t="inlineStr">
        <is>
          <t>Dwi Rahmadi</t>
        </is>
      </c>
      <c r="J86" s="3" t="inlineStr">
        <is>
          <t>ATC Level 2</t>
        </is>
      </c>
      <c r="K86" s="3" t="inlineStr">
        <is>
          <t>Wuling</t>
        </is>
      </c>
      <c r="L86" s="3" t="inlineStr">
        <is>
          <t>Formo</t>
        </is>
      </c>
      <c r="M86" s="2" t="n">
        <v>2016</v>
      </c>
      <c r="N86" s="2" t="n">
        <v>1.8</v>
      </c>
      <c r="O86" s="4" t="n">
        <v>735000</v>
      </c>
      <c r="P86" s="4" t="n">
        <v>785000</v>
      </c>
      <c r="Q86" s="4">
        <f>O86+P86</f>
        <v/>
      </c>
      <c r="R86" s="2" t="n">
        <v>4.4</v>
      </c>
      <c r="S86" s="3" t="inlineStr">
        <is>
          <t>Pending</t>
        </is>
      </c>
      <c r="T86" s="3" t="inlineStr">
        <is>
          <t>Servis darurat - kendaraan mogok</t>
        </is>
      </c>
    </row>
    <row r="87">
      <c r="A87" s="5" t="n">
        <v>86</v>
      </c>
      <c r="B87" s="6" t="inlineStr">
        <is>
          <t>MTO-202411-0086</t>
        </is>
      </c>
      <c r="C87" s="5" t="inlineStr">
        <is>
          <t>2024-11-06</t>
        </is>
      </c>
      <c r="D87" s="6" t="inlineStr">
        <is>
          <t>Mitsubishi Bogor Pajajaran</t>
        </is>
      </c>
      <c r="E87" s="6" t="inlineStr">
        <is>
          <t>Bogor</t>
        </is>
      </c>
      <c r="F87" s="6" t="inlineStr">
        <is>
          <t>Jawa Barat</t>
        </is>
      </c>
      <c r="G87" s="6" t="inlineStr">
        <is>
          <t>Overhaul AC</t>
        </is>
      </c>
      <c r="H87" s="5" t="inlineStr">
        <is>
          <t>AC</t>
        </is>
      </c>
      <c r="I87" s="6" t="inlineStr">
        <is>
          <t>Eko Prasetyo</t>
        </is>
      </c>
      <c r="J87" s="6" t="inlineStr">
        <is>
          <t>ATC Level 1</t>
        </is>
      </c>
      <c r="K87" s="6" t="inlineStr">
        <is>
          <t>Toyota</t>
        </is>
      </c>
      <c r="L87" s="6" t="inlineStr">
        <is>
          <t>Yaris</t>
        </is>
      </c>
      <c r="M87" s="5" t="n">
        <v>2015</v>
      </c>
      <c r="N87" s="5" t="n">
        <v>5.5</v>
      </c>
      <c r="O87" s="7" t="n">
        <v>658000</v>
      </c>
      <c r="P87" s="7" t="n">
        <v>1755000</v>
      </c>
      <c r="Q87" s="7">
        <f>O87+P87</f>
        <v/>
      </c>
      <c r="R87" s="5" t="n">
        <v>4.9</v>
      </c>
      <c r="S87" s="6" t="inlineStr">
        <is>
          <t>Selesai</t>
        </is>
      </c>
      <c r="T87" s="6" t="inlineStr">
        <is>
          <t>Inspeksi berkala 10.000 km</t>
        </is>
      </c>
    </row>
    <row r="88">
      <c r="A88" s="2" t="n">
        <v>87</v>
      </c>
      <c r="B88" s="3" t="inlineStr">
        <is>
          <t>MTO-202410-0087</t>
        </is>
      </c>
      <c r="C88" s="2" t="inlineStr">
        <is>
          <t>2024-10-23</t>
        </is>
      </c>
      <c r="D88" s="3" t="inlineStr">
        <is>
          <t>Toyota Depok Margonda</t>
        </is>
      </c>
      <c r="E88" s="3" t="inlineStr">
        <is>
          <t>Depok</t>
        </is>
      </c>
      <c r="F88" s="3" t="inlineStr">
        <is>
          <t>Jawa Barat</t>
        </is>
      </c>
      <c r="G88" s="3" t="inlineStr">
        <is>
          <t>Ganti Freon AC</t>
        </is>
      </c>
      <c r="H88" s="2" t="inlineStr">
        <is>
          <t>AC</t>
        </is>
      </c>
      <c r="I88" s="3" t="inlineStr">
        <is>
          <t>Dwi Rahmadi</t>
        </is>
      </c>
      <c r="J88" s="3" t="inlineStr">
        <is>
          <t>ATC Level 2</t>
        </is>
      </c>
      <c r="K88" s="3" t="inlineStr">
        <is>
          <t>Mitsubishi</t>
        </is>
      </c>
      <c r="L88" s="3" t="inlineStr">
        <is>
          <t>L300</t>
        </is>
      </c>
      <c r="M88" s="2" t="n">
        <v>2017</v>
      </c>
      <c r="N88" s="2" t="n">
        <v>4</v>
      </c>
      <c r="O88" s="4" t="n">
        <v>792000</v>
      </c>
      <c r="P88" s="4" t="n">
        <v>1373000</v>
      </c>
      <c r="Q88" s="4">
        <f>O88+P88</f>
        <v/>
      </c>
      <c r="R88" s="2" t="n">
        <v>3.6</v>
      </c>
      <c r="S88" s="3" t="inlineStr">
        <is>
          <t>Selesai</t>
        </is>
      </c>
      <c r="T88" s="3" t="inlineStr">
        <is>
          <t>Servis rutin terjadwal</t>
        </is>
      </c>
    </row>
    <row r="89">
      <c r="A89" s="5" t="n">
        <v>88</v>
      </c>
      <c r="B89" s="6" t="inlineStr">
        <is>
          <t>MTO-202503-0088</t>
        </is>
      </c>
      <c r="C89" s="5" t="inlineStr">
        <is>
          <t>2025-03-01</t>
        </is>
      </c>
      <c r="D89" s="6" t="inlineStr">
        <is>
          <t>Mitsubishi Medan Gatsu</t>
        </is>
      </c>
      <c r="E89" s="6" t="inlineStr">
        <is>
          <t>Medan</t>
        </is>
      </c>
      <c r="F89" s="6" t="inlineStr">
        <is>
          <t>Sumatera Utara</t>
        </is>
      </c>
      <c r="G89" s="6" t="inlineStr">
        <is>
          <t>Ganti Oli &amp; Filter</t>
        </is>
      </c>
      <c r="H89" s="5" t="inlineStr">
        <is>
          <t>AC</t>
        </is>
      </c>
      <c r="I89" s="6" t="inlineStr">
        <is>
          <t>Budi Santoso</t>
        </is>
      </c>
      <c r="J89" s="6" t="inlineStr">
        <is>
          <t>ATC Level 1</t>
        </is>
      </c>
      <c r="K89" s="6" t="inlineStr">
        <is>
          <t>Suzuki</t>
        </is>
      </c>
      <c r="L89" s="6" t="inlineStr">
        <is>
          <t>Ignis</t>
        </is>
      </c>
      <c r="M89" s="5" t="n">
        <v>2021</v>
      </c>
      <c r="N89" s="5" t="n">
        <v>1.5</v>
      </c>
      <c r="O89" s="7" t="n">
        <v>285000</v>
      </c>
      <c r="P89" s="7" t="n">
        <v>1660000</v>
      </c>
      <c r="Q89" s="7">
        <f>O89+P89</f>
        <v/>
      </c>
      <c r="R89" s="5" t="n">
        <v>4.3</v>
      </c>
      <c r="S89" s="6" t="inlineStr">
        <is>
          <t>Pending</t>
        </is>
      </c>
      <c r="T89" s="6" t="inlineStr">
        <is>
          <t>Servis darurat - kendaraan mogok</t>
        </is>
      </c>
    </row>
    <row r="90">
      <c r="A90" s="2" t="n">
        <v>89</v>
      </c>
      <c r="B90" s="3" t="inlineStr">
        <is>
          <t>MTO-202505-0089</t>
        </is>
      </c>
      <c r="C90" s="2" t="inlineStr">
        <is>
          <t>2025-05-10</t>
        </is>
      </c>
      <c r="D90" s="3" t="inlineStr">
        <is>
          <t>Astra Daihatsu Bandung Soekarno-Hatta</t>
        </is>
      </c>
      <c r="E90" s="3" t="inlineStr">
        <is>
          <t>Bandung</t>
        </is>
      </c>
      <c r="F90" s="3" t="inlineStr">
        <is>
          <t>Jawa Barat</t>
        </is>
      </c>
      <c r="G90" s="3" t="inlineStr">
        <is>
          <t>Servis Rem</t>
        </is>
      </c>
      <c r="H90" s="2" t="inlineStr">
        <is>
          <t>Non-AC</t>
        </is>
      </c>
      <c r="I90" s="3" t="inlineStr">
        <is>
          <t>Hendra Wijaya</t>
        </is>
      </c>
      <c r="J90" s="3" t="inlineStr">
        <is>
          <t>ATC Level 1</t>
        </is>
      </c>
      <c r="K90" s="3" t="inlineStr">
        <is>
          <t>Suzuki</t>
        </is>
      </c>
      <c r="L90" s="3" t="inlineStr">
        <is>
          <t>Ignis</t>
        </is>
      </c>
      <c r="M90" s="2" t="n">
        <v>2016</v>
      </c>
      <c r="N90" s="2" t="n">
        <v>3.1</v>
      </c>
      <c r="O90" s="4" t="n">
        <v>227000</v>
      </c>
      <c r="P90" s="4" t="n">
        <v>338000</v>
      </c>
      <c r="Q90" s="4">
        <f>O90+P90</f>
        <v/>
      </c>
      <c r="R90" s="2" t="n">
        <v>4.6</v>
      </c>
      <c r="S90" s="3" t="inlineStr">
        <is>
          <t>Selesai</t>
        </is>
      </c>
      <c r="T90" s="3" t="inlineStr">
        <is>
          <t>Garansi komponen baru</t>
        </is>
      </c>
    </row>
    <row r="91">
      <c r="A91" s="5" t="n">
        <v>90</v>
      </c>
      <c r="B91" s="6" t="inlineStr">
        <is>
          <t>MTO-202410-0090</t>
        </is>
      </c>
      <c r="C91" s="5" t="inlineStr">
        <is>
          <t>2024-10-26</t>
        </is>
      </c>
      <c r="D91" s="6" t="inlineStr">
        <is>
          <t>Mitsubishi Bogor Pajajaran</t>
        </is>
      </c>
      <c r="E91" s="6" t="inlineStr">
        <is>
          <t>Bogor</t>
        </is>
      </c>
      <c r="F91" s="6" t="inlineStr">
        <is>
          <t>Jawa Barat</t>
        </is>
      </c>
      <c r="G91" s="6" t="inlineStr">
        <is>
          <t>Servis Transmisi</t>
        </is>
      </c>
      <c r="H91" s="5" t="inlineStr">
        <is>
          <t>Non-AC</t>
        </is>
      </c>
      <c r="I91" s="6" t="inlineStr">
        <is>
          <t>Fajar Nugroho</t>
        </is>
      </c>
      <c r="J91" s="6" t="inlineStr">
        <is>
          <t>ATC Level 2</t>
        </is>
      </c>
      <c r="K91" s="6" t="inlineStr">
        <is>
          <t>Honda</t>
        </is>
      </c>
      <c r="L91" s="6" t="inlineStr">
        <is>
          <t>HR-V</t>
        </is>
      </c>
      <c r="M91" s="5" t="n">
        <v>2015</v>
      </c>
      <c r="N91" s="5" t="n">
        <v>2</v>
      </c>
      <c r="O91" s="7" t="n">
        <v>276000</v>
      </c>
      <c r="P91" s="7" t="n">
        <v>981000</v>
      </c>
      <c r="Q91" s="7">
        <f>O91+P91</f>
        <v/>
      </c>
      <c r="R91" s="5" t="n">
        <v>4.1</v>
      </c>
      <c r="S91" s="6" t="inlineStr">
        <is>
          <t>Selesai</t>
        </is>
      </c>
      <c r="T91" s="6" t="inlineStr">
        <is>
          <t>Servis darurat - kendaraan mogok</t>
        </is>
      </c>
    </row>
    <row r="92">
      <c r="A92" s="2" t="n">
        <v>91</v>
      </c>
      <c r="B92" s="3" t="inlineStr">
        <is>
          <t>MTO-202411-0091</t>
        </is>
      </c>
      <c r="C92" s="2" t="inlineStr">
        <is>
          <t>2024-11-21</t>
        </is>
      </c>
      <c r="D92" s="3" t="inlineStr">
        <is>
          <t>Nissan Makassar Urip</t>
        </is>
      </c>
      <c r="E92" s="3" t="inlineStr">
        <is>
          <t>Makassar</t>
        </is>
      </c>
      <c r="F92" s="3" t="inlineStr">
        <is>
          <t>Sulawesi Selatan</t>
        </is>
      </c>
      <c r="G92" s="3" t="inlineStr">
        <is>
          <t>Ganti Freon AC</t>
        </is>
      </c>
      <c r="H92" s="2" t="inlineStr">
        <is>
          <t>AC</t>
        </is>
      </c>
      <c r="I92" s="3" t="inlineStr">
        <is>
          <t>Budi Santoso</t>
        </is>
      </c>
      <c r="J92" s="3" t="inlineStr">
        <is>
          <t>ATC Level 1</t>
        </is>
      </c>
      <c r="K92" s="3" t="inlineStr">
        <is>
          <t>Mitsubishi</t>
        </is>
      </c>
      <c r="L92" s="3" t="inlineStr">
        <is>
          <t>Outlander</t>
        </is>
      </c>
      <c r="M92" s="2" t="n">
        <v>2015</v>
      </c>
      <c r="N92" s="2" t="n">
        <v>3.9</v>
      </c>
      <c r="O92" s="4" t="n">
        <v>724000</v>
      </c>
      <c r="P92" s="4" t="n">
        <v>721000</v>
      </c>
      <c r="Q92" s="4">
        <f>O92+P92</f>
        <v/>
      </c>
      <c r="R92" s="2" t="n">
        <v>4.9</v>
      </c>
      <c r="S92" s="3" t="inlineStr">
        <is>
          <t>Selesai</t>
        </is>
      </c>
      <c r="T92" s="3" t="inlineStr">
        <is>
          <t>Keluhan pelanggan - AC kurang dingin</t>
        </is>
      </c>
    </row>
    <row r="93">
      <c r="A93" s="5" t="n">
        <v>92</v>
      </c>
      <c r="B93" s="6" t="inlineStr">
        <is>
          <t>MTO-202503-0092</t>
        </is>
      </c>
      <c r="C93" s="5" t="inlineStr">
        <is>
          <t>2025-03-30</t>
        </is>
      </c>
      <c r="D93" s="6" t="inlineStr">
        <is>
          <t>Mitsubishi Bogor Pajajaran</t>
        </is>
      </c>
      <c r="E93" s="6" t="inlineStr">
        <is>
          <t>Bogor</t>
        </is>
      </c>
      <c r="F93" s="6" t="inlineStr">
        <is>
          <t>Jawa Barat</t>
        </is>
      </c>
      <c r="G93" s="6" t="inlineStr">
        <is>
          <t>Pembersihan Evaporator</t>
        </is>
      </c>
      <c r="H93" s="5" t="inlineStr">
        <is>
          <t>AC</t>
        </is>
      </c>
      <c r="I93" s="6" t="inlineStr">
        <is>
          <t>Eko Prasetyo</t>
        </is>
      </c>
      <c r="J93" s="6" t="inlineStr">
        <is>
          <t>ATC Level 1</t>
        </is>
      </c>
      <c r="K93" s="6" t="inlineStr">
        <is>
          <t>Wuling</t>
        </is>
      </c>
      <c r="L93" s="6" t="inlineStr">
        <is>
          <t>Almaz</t>
        </is>
      </c>
      <c r="M93" s="5" t="n">
        <v>2017</v>
      </c>
      <c r="N93" s="5" t="n">
        <v>0.7</v>
      </c>
      <c r="O93" s="7" t="n">
        <v>188000</v>
      </c>
      <c r="P93" s="7" t="n">
        <v>673000</v>
      </c>
      <c r="Q93" s="7">
        <f>O93+P93</f>
        <v/>
      </c>
      <c r="R93" s="5" t="n">
        <v>5</v>
      </c>
      <c r="S93" s="6" t="inlineStr">
        <is>
          <t>Selesai</t>
        </is>
      </c>
      <c r="T93" s="6" t="inlineStr">
        <is>
          <t>Inspeksi berkala 10.000 km</t>
        </is>
      </c>
    </row>
    <row r="94">
      <c r="A94" s="2" t="n">
        <v>93</v>
      </c>
      <c r="B94" s="3" t="inlineStr">
        <is>
          <t>MTO-202411-0093</t>
        </is>
      </c>
      <c r="C94" s="2" t="inlineStr">
        <is>
          <t>2024-11-11</t>
        </is>
      </c>
      <c r="D94" s="3" t="inlineStr">
        <is>
          <t>Daihatsu Balikpapan Sudirman</t>
        </is>
      </c>
      <c r="E94" s="3" t="inlineStr">
        <is>
          <t>Balikpapan</t>
        </is>
      </c>
      <c r="F94" s="3" t="inlineStr">
        <is>
          <t>Kalimantan Timur</t>
        </is>
      </c>
      <c r="G94" s="3" t="inlineStr">
        <is>
          <t>Ganti Oli &amp; Filter</t>
        </is>
      </c>
      <c r="H94" s="2" t="inlineStr">
        <is>
          <t>AC</t>
        </is>
      </c>
      <c r="I94" s="3" t="inlineStr">
        <is>
          <t>Gunawan Hadi</t>
        </is>
      </c>
      <c r="J94" s="3" t="inlineStr">
        <is>
          <t>ATC Level 3</t>
        </is>
      </c>
      <c r="K94" s="3" t="inlineStr">
        <is>
          <t>Hyundai</t>
        </is>
      </c>
      <c r="L94" s="3" t="inlineStr">
        <is>
          <t>Stargazer</t>
        </is>
      </c>
      <c r="M94" s="2" t="n">
        <v>2023</v>
      </c>
      <c r="N94" s="2" t="n">
        <v>2.8</v>
      </c>
      <c r="O94" s="4" t="n">
        <v>308000</v>
      </c>
      <c r="P94" s="4" t="n">
        <v>1863000</v>
      </c>
      <c r="Q94" s="4">
        <f>O94+P94</f>
        <v/>
      </c>
      <c r="R94" s="2" t="n">
        <v>4.1</v>
      </c>
      <c r="S94" s="3" t="inlineStr">
        <is>
          <t>Selesai</t>
        </is>
      </c>
      <c r="T94" s="3" t="inlineStr">
        <is>
          <t>Servis pre-delivery inspection</t>
        </is>
      </c>
    </row>
    <row r="95">
      <c r="A95" s="5" t="n">
        <v>94</v>
      </c>
      <c r="B95" s="6" t="inlineStr">
        <is>
          <t>MTO-202410-0094</t>
        </is>
      </c>
      <c r="C95" s="5" t="inlineStr">
        <is>
          <t>2024-10-05</t>
        </is>
      </c>
      <c r="D95" s="6" t="inlineStr">
        <is>
          <t>Nissan Makassar Urip</t>
        </is>
      </c>
      <c r="E95" s="6" t="inlineStr">
        <is>
          <t>Makassar</t>
        </is>
      </c>
      <c r="F95" s="6" t="inlineStr">
        <is>
          <t>Sulawesi Selatan</t>
        </is>
      </c>
      <c r="G95" s="6" t="inlineStr">
        <is>
          <t>Servis Rem</t>
        </is>
      </c>
      <c r="H95" s="5" t="inlineStr">
        <is>
          <t>Non-AC</t>
        </is>
      </c>
      <c r="I95" s="6" t="inlineStr">
        <is>
          <t>Ahmad Fauzi</t>
        </is>
      </c>
      <c r="J95" s="6" t="inlineStr">
        <is>
          <t>ATC Level 2</t>
        </is>
      </c>
      <c r="K95" s="6" t="inlineStr">
        <is>
          <t>Nissan</t>
        </is>
      </c>
      <c r="L95" s="6" t="inlineStr">
        <is>
          <t>Grand Livina</t>
        </is>
      </c>
      <c r="M95" s="5" t="n">
        <v>2022</v>
      </c>
      <c r="N95" s="5" t="n">
        <v>2.9</v>
      </c>
      <c r="O95" s="7" t="n">
        <v>391000</v>
      </c>
      <c r="P95" s="7" t="n">
        <v>1801000</v>
      </c>
      <c r="Q95" s="7">
        <f>O95+P95</f>
        <v/>
      </c>
      <c r="R95" s="5" t="n">
        <v>4</v>
      </c>
      <c r="S95" s="6" t="inlineStr">
        <is>
          <t>Pending</t>
        </is>
      </c>
      <c r="T95" s="6" t="inlineStr">
        <is>
          <t>Tindak lanjut servis sebelumnya</t>
        </is>
      </c>
    </row>
    <row r="96">
      <c r="A96" s="2" t="n">
        <v>95</v>
      </c>
      <c r="B96" s="3" t="inlineStr">
        <is>
          <t>MTO-202401-0095</t>
        </is>
      </c>
      <c r="C96" s="2" t="inlineStr">
        <is>
          <t>2024-01-26</t>
        </is>
      </c>
      <c r="D96" s="3" t="inlineStr">
        <is>
          <t>Suzuki Pekanbaru Ahmad Yani</t>
        </is>
      </c>
      <c r="E96" s="3" t="inlineStr">
        <is>
          <t>Pekanbaru</t>
        </is>
      </c>
      <c r="F96" s="3" t="inlineStr">
        <is>
          <t>Riau</t>
        </is>
      </c>
      <c r="G96" s="3" t="inlineStr">
        <is>
          <t>Ganti Freon AC</t>
        </is>
      </c>
      <c r="H96" s="2" t="inlineStr">
        <is>
          <t>AC</t>
        </is>
      </c>
      <c r="I96" s="3" t="inlineStr">
        <is>
          <t>Ahmad Fauzi</t>
        </is>
      </c>
      <c r="J96" s="3" t="inlineStr">
        <is>
          <t>ATC Level 2</t>
        </is>
      </c>
      <c r="K96" s="3" t="inlineStr">
        <is>
          <t>Wuling</t>
        </is>
      </c>
      <c r="L96" s="3" t="inlineStr">
        <is>
          <t>Confero</t>
        </is>
      </c>
      <c r="M96" s="2" t="n">
        <v>2018</v>
      </c>
      <c r="N96" s="2" t="n">
        <v>5.8</v>
      </c>
      <c r="O96" s="4" t="n">
        <v>615000</v>
      </c>
      <c r="P96" s="4" t="n">
        <v>237000</v>
      </c>
      <c r="Q96" s="4">
        <f>O96+P96</f>
        <v/>
      </c>
      <c r="R96" s="2" t="n">
        <v>4.5</v>
      </c>
      <c r="S96" s="3" t="inlineStr">
        <is>
          <t>Selesai</t>
        </is>
      </c>
      <c r="T96" s="3" t="inlineStr">
        <is>
          <t>Servis rutin terjadwal</t>
        </is>
      </c>
    </row>
    <row r="97">
      <c r="A97" s="5" t="n">
        <v>96</v>
      </c>
      <c r="B97" s="6" t="inlineStr">
        <is>
          <t>MTO-202406-0096</t>
        </is>
      </c>
      <c r="C97" s="5" t="inlineStr">
        <is>
          <t>2024-06-17</t>
        </is>
      </c>
      <c r="D97" s="6" t="inlineStr">
        <is>
          <t>Toyota Depok Margonda</t>
        </is>
      </c>
      <c r="E97" s="6" t="inlineStr">
        <is>
          <t>Depok</t>
        </is>
      </c>
      <c r="F97" s="6" t="inlineStr">
        <is>
          <t>Jawa Barat</t>
        </is>
      </c>
      <c r="G97" s="6" t="inlineStr">
        <is>
          <t>Ganti Freon AC</t>
        </is>
      </c>
      <c r="H97" s="5" t="inlineStr">
        <is>
          <t>AC</t>
        </is>
      </c>
      <c r="I97" s="6" t="inlineStr">
        <is>
          <t>Dwi Rahmadi</t>
        </is>
      </c>
      <c r="J97" s="6" t="inlineStr">
        <is>
          <t>ATC Level 2</t>
        </is>
      </c>
      <c r="K97" s="6" t="inlineStr">
        <is>
          <t>Daihatsu</t>
        </is>
      </c>
      <c r="L97" s="6" t="inlineStr">
        <is>
          <t>Rocky</t>
        </is>
      </c>
      <c r="M97" s="5" t="n">
        <v>2018</v>
      </c>
      <c r="N97" s="5" t="n">
        <v>0.9</v>
      </c>
      <c r="O97" s="7" t="n">
        <v>717000</v>
      </c>
      <c r="P97" s="7" t="n">
        <v>474000</v>
      </c>
      <c r="Q97" s="7">
        <f>O97+P97</f>
        <v/>
      </c>
      <c r="R97" s="5" t="n">
        <v>4.4</v>
      </c>
      <c r="S97" s="6" t="inlineStr">
        <is>
          <t>Selesai</t>
        </is>
      </c>
      <c r="T97" s="6" t="inlineStr">
        <is>
          <t>Inspeksi berkala 10.000 km</t>
        </is>
      </c>
    </row>
    <row r="98">
      <c r="A98" s="2" t="n">
        <v>97</v>
      </c>
      <c r="B98" s="3" t="inlineStr">
        <is>
          <t>MTO-202403-0097</t>
        </is>
      </c>
      <c r="C98" s="2" t="inlineStr">
        <is>
          <t>2024-03-08</t>
        </is>
      </c>
      <c r="D98" s="3" t="inlineStr">
        <is>
          <t>Toyota Depok Margonda</t>
        </is>
      </c>
      <c r="E98" s="3" t="inlineStr">
        <is>
          <t>Depok</t>
        </is>
      </c>
      <c r="F98" s="3" t="inlineStr">
        <is>
          <t>Jawa Barat</t>
        </is>
      </c>
      <c r="G98" s="3" t="inlineStr">
        <is>
          <t>Ganti Oli &amp; Filter</t>
        </is>
      </c>
      <c r="H98" s="2" t="inlineStr">
        <is>
          <t>AC</t>
        </is>
      </c>
      <c r="I98" s="3" t="inlineStr">
        <is>
          <t>Joko Susilo</t>
        </is>
      </c>
      <c r="J98" s="3" t="inlineStr">
        <is>
          <t>ATC Level 1</t>
        </is>
      </c>
      <c r="K98" s="3" t="inlineStr">
        <is>
          <t>Toyota</t>
        </is>
      </c>
      <c r="L98" s="3" t="inlineStr">
        <is>
          <t>Fortuner</t>
        </is>
      </c>
      <c r="M98" s="2" t="n">
        <v>2017</v>
      </c>
      <c r="N98" s="2" t="n">
        <v>5.9</v>
      </c>
      <c r="O98" s="4" t="n">
        <v>703000</v>
      </c>
      <c r="P98" s="4" t="n">
        <v>563000</v>
      </c>
      <c r="Q98" s="4">
        <f>O98+P98</f>
        <v/>
      </c>
      <c r="R98" s="2" t="n">
        <v>4.7</v>
      </c>
      <c r="S98" s="3" t="inlineStr">
        <is>
          <t>Selesai</t>
        </is>
      </c>
      <c r="T98" s="3" t="inlineStr">
        <is>
          <t>Servis rutin terjadwal</t>
        </is>
      </c>
    </row>
    <row r="99">
      <c r="A99" s="5" t="n">
        <v>98</v>
      </c>
      <c r="B99" s="6" t="inlineStr">
        <is>
          <t>MTO-202408-0098</t>
        </is>
      </c>
      <c r="C99" s="5" t="inlineStr">
        <is>
          <t>2024-08-31</t>
        </is>
      </c>
      <c r="D99" s="6" t="inlineStr">
        <is>
          <t>Auto2000 Jakarta Selatan</t>
        </is>
      </c>
      <c r="E99" s="6" t="inlineStr">
        <is>
          <t>Jakarta Selatan</t>
        </is>
      </c>
      <c r="F99" s="6" t="inlineStr">
        <is>
          <t>DKI Jakarta</t>
        </is>
      </c>
      <c r="G99" s="6" t="inlineStr">
        <is>
          <t>Ganti Freon AC</t>
        </is>
      </c>
      <c r="H99" s="5" t="inlineStr">
        <is>
          <t>AC</t>
        </is>
      </c>
      <c r="I99" s="6" t="inlineStr">
        <is>
          <t>Dwi Rahmadi</t>
        </is>
      </c>
      <c r="J99" s="6" t="inlineStr">
        <is>
          <t>ATC Level 2</t>
        </is>
      </c>
      <c r="K99" s="6" t="inlineStr">
        <is>
          <t>Nissan</t>
        </is>
      </c>
      <c r="L99" s="6" t="inlineStr">
        <is>
          <t>Livina</t>
        </is>
      </c>
      <c r="M99" s="5" t="n">
        <v>2017</v>
      </c>
      <c r="N99" s="5" t="n">
        <v>2</v>
      </c>
      <c r="O99" s="7" t="n">
        <v>279000</v>
      </c>
      <c r="P99" s="7" t="n">
        <v>1569000</v>
      </c>
      <c r="Q99" s="7">
        <f>O99+P99</f>
        <v/>
      </c>
      <c r="R99" s="5" t="n">
        <v>4.1</v>
      </c>
      <c r="S99" s="6" t="inlineStr">
        <is>
          <t>Selesai</t>
        </is>
      </c>
      <c r="T99" s="6" t="inlineStr">
        <is>
          <t>Keluhan pelanggan - AC kurang dingin</t>
        </is>
      </c>
    </row>
    <row r="100">
      <c r="A100" s="2" t="n">
        <v>99</v>
      </c>
      <c r="B100" s="3" t="inlineStr">
        <is>
          <t>MTO-202408-0099</t>
        </is>
      </c>
      <c r="C100" s="2" t="inlineStr">
        <is>
          <t>2024-08-22</t>
        </is>
      </c>
      <c r="D100" s="3" t="inlineStr">
        <is>
          <t>Suzuki Palembang Demang</t>
        </is>
      </c>
      <c r="E100" s="3" t="inlineStr">
        <is>
          <t>Palembang</t>
        </is>
      </c>
      <c r="F100" s="3" t="inlineStr">
        <is>
          <t>Sumatera Selatan</t>
        </is>
      </c>
      <c r="G100" s="3" t="inlineStr">
        <is>
          <t>Ganti Freon AC</t>
        </is>
      </c>
      <c r="H100" s="2" t="inlineStr">
        <is>
          <t>AC</t>
        </is>
      </c>
      <c r="I100" s="3" t="inlineStr">
        <is>
          <t>Irfan Maulana</t>
        </is>
      </c>
      <c r="J100" s="3" t="inlineStr">
        <is>
          <t>ATC Level 2</t>
        </is>
      </c>
      <c r="K100" s="3" t="inlineStr">
        <is>
          <t>Honda</t>
        </is>
      </c>
      <c r="L100" s="3" t="inlineStr">
        <is>
          <t>HR-V</t>
        </is>
      </c>
      <c r="M100" s="2" t="n">
        <v>2023</v>
      </c>
      <c r="N100" s="2" t="n">
        <v>1.7</v>
      </c>
      <c r="O100" s="4" t="n">
        <v>779000</v>
      </c>
      <c r="P100" s="4" t="n">
        <v>138000</v>
      </c>
      <c r="Q100" s="4">
        <f>O100+P100</f>
        <v/>
      </c>
      <c r="R100" s="2" t="n">
        <v>4.6</v>
      </c>
      <c r="S100" s="3" t="inlineStr">
        <is>
          <t>Selesai</t>
        </is>
      </c>
      <c r="T100" s="3" t="inlineStr">
        <is>
          <t>Servis darurat - kendaraan mogok</t>
        </is>
      </c>
    </row>
    <row r="101">
      <c r="A101" s="5" t="n">
        <v>100</v>
      </c>
      <c r="B101" s="6" t="inlineStr">
        <is>
          <t>MTO-202406-0100</t>
        </is>
      </c>
      <c r="C101" s="5" t="inlineStr">
        <is>
          <t>2024-06-13</t>
        </is>
      </c>
      <c r="D101" s="6" t="inlineStr">
        <is>
          <t>Auto2000 Tangerang Selatan</t>
        </is>
      </c>
      <c r="E101" s="6" t="inlineStr">
        <is>
          <t>Tangerang Selatan</t>
        </is>
      </c>
      <c r="F101" s="6" t="inlineStr">
        <is>
          <t>Banten</t>
        </is>
      </c>
      <c r="G101" s="6" t="inlineStr">
        <is>
          <t>Servis AC Mobil</t>
        </is>
      </c>
      <c r="H101" s="5" t="inlineStr">
        <is>
          <t>AC</t>
        </is>
      </c>
      <c r="I101" s="6" t="inlineStr">
        <is>
          <t>Ahmad Fauzi</t>
        </is>
      </c>
      <c r="J101" s="6" t="inlineStr">
        <is>
          <t>ATC Level 2</t>
        </is>
      </c>
      <c r="K101" s="6" t="inlineStr">
        <is>
          <t>Hyundai</t>
        </is>
      </c>
      <c r="L101" s="6" t="inlineStr">
        <is>
          <t>Santa Fe</t>
        </is>
      </c>
      <c r="M101" s="5" t="n">
        <v>2021</v>
      </c>
      <c r="N101" s="5" t="n">
        <v>4.3</v>
      </c>
      <c r="O101" s="7" t="n">
        <v>652000</v>
      </c>
      <c r="P101" s="7" t="n">
        <v>1508000</v>
      </c>
      <c r="Q101" s="7">
        <f>O101+P101</f>
        <v/>
      </c>
      <c r="R101" s="5" t="n">
        <v>4.9</v>
      </c>
      <c r="S101" s="6" t="inlineStr">
        <is>
          <t>Selesai</t>
        </is>
      </c>
      <c r="T101" s="6" t="inlineStr">
        <is>
          <t>Keluhan pelanggan - AC kurang dingin</t>
        </is>
      </c>
    </row>
  </sheetData>
  <autoFilter ref="A1:T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22" customWidth="1" min="4" max="4"/>
    <col width="18" customWidth="1" min="5" max="5"/>
    <col width="14" customWidth="1" min="6" max="6"/>
  </cols>
  <sheetData>
    <row r="1" ht="30" customHeight="1">
      <c r="A1" s="8" t="inlineStr">
        <is>
          <t>DASHBOARD KPI - MITRA TEKNIK OTOMOTIF</t>
        </is>
      </c>
    </row>
    <row r="2" ht="20" customHeight="1">
      <c r="A2" s="9" t="inlineStr">
        <is>
          <t>Periode: Januari 2024 - Juni 2025 | Data Portofolio Analisis Junior Analyst</t>
        </is>
      </c>
    </row>
    <row r="4">
      <c r="A4" s="10" t="inlineStr">
        <is>
          <t>VOLUME &amp; OPERASIONAL</t>
        </is>
      </c>
      <c r="D4" s="10" t="inlineStr">
        <is>
          <t>KEUANGAN</t>
        </is>
      </c>
    </row>
    <row r="5">
      <c r="A5" s="11" t="inlineStr">
        <is>
          <t>Total Transaksi</t>
        </is>
      </c>
      <c r="B5" s="12">
        <f>COUNTA('Data Transaksi Servis'!B2:B101)</f>
        <v/>
      </c>
      <c r="C5" s="13" t="n"/>
      <c r="D5" s="11" t="inlineStr">
        <is>
          <t>Total Pendapatan</t>
        </is>
      </c>
      <c r="E5" s="12">
        <f>SUM('Data Transaksi Servis'!Q2:Q101)</f>
        <v/>
      </c>
      <c r="F5" s="13" t="n"/>
    </row>
    <row r="6">
      <c r="A6" s="11" t="inlineStr">
        <is>
          <t>Transaksi Selesai</t>
        </is>
      </c>
      <c r="B6" s="12">
        <f>COUNTIF('Data Transaksi Servis'!S2:S101,"Selesai")</f>
        <v/>
      </c>
      <c r="C6" s="13" t="n"/>
      <c r="D6" s="11" t="inlineStr">
        <is>
          <t>Total Biaya Jasa</t>
        </is>
      </c>
      <c r="E6" s="12">
        <f>SUM('Data Transaksi Servis'!O2:O101)</f>
        <v/>
      </c>
      <c r="F6" s="13" t="n"/>
    </row>
    <row r="7">
      <c r="A7" s="11" t="inlineStr">
        <is>
          <t>Transaksi Pending</t>
        </is>
      </c>
      <c r="B7" s="12">
        <f>COUNTIF('Data Transaksi Servis'!S2:S101,"Pending")</f>
        <v/>
      </c>
      <c r="C7" s="13" t="n"/>
      <c r="D7" s="11" t="inlineStr">
        <is>
          <t>Total Biaya Suku Cadang</t>
        </is>
      </c>
      <c r="E7" s="12">
        <f>SUM('Data Transaksi Servis'!P2:P101)</f>
        <v/>
      </c>
      <c r="F7" s="13" t="n"/>
    </row>
    <row r="8">
      <c r="A8" s="11" t="inlineStr">
        <is>
          <t>Jumlah Dealer Aktif</t>
        </is>
      </c>
      <c r="B8" s="12">
        <f>COUNTA(UNIQUE('Data Transaksi Servis'!D2:D101))</f>
        <v/>
      </c>
      <c r="C8" s="13" t="n"/>
      <c r="D8" s="11" t="inlineStr">
        <is>
          <t>Rata-rata Biaya per Transaksi</t>
        </is>
      </c>
      <c r="E8" s="12">
        <f>AVERAGE('Data Transaksi Servis'!Q2:Q101)</f>
        <v/>
      </c>
      <c r="F8" s="13" t="n"/>
    </row>
    <row r="9">
      <c r="A9" s="11" t="inlineStr">
        <is>
          <t>Rata-rata Durasi Servis</t>
        </is>
      </c>
      <c r="B9" s="14">
        <f>AVERAGE('Data Transaksi Servis'!N2:N101)</f>
        <v/>
      </c>
      <c r="C9" s="13" t="n"/>
      <c r="D9" s="11" t="inlineStr">
        <is>
          <t>Pendapatan Tertinggi</t>
        </is>
      </c>
      <c r="E9" s="12">
        <f>MAX('Data Transaksi Servis'!Q2:Q101)</f>
        <v/>
      </c>
      <c r="F9" s="13" t="n"/>
    </row>
    <row r="10">
      <c r="A10" s="11" t="inlineStr">
        <is>
          <t>Rata-rata Rating Kepuasan</t>
        </is>
      </c>
      <c r="B10" s="15">
        <f>AVERAGE('Data Transaksi Servis'!R2:R101)</f>
        <v/>
      </c>
      <c r="C10" s="13" t="n"/>
      <c r="D10" s="11" t="inlineStr">
        <is>
          <t>Pendapatan Terendah</t>
        </is>
      </c>
      <c r="E10" s="12">
        <f>MIN('Data Transaksi Servis'!Q2:Q101)</f>
        <v/>
      </c>
      <c r="F10" s="13" t="n"/>
    </row>
    <row r="12">
      <c r="A12" s="10" t="inlineStr">
        <is>
          <t>RINGKASAN PER JENIS LAYANAN</t>
        </is>
      </c>
    </row>
    <row r="13">
      <c r="A13" s="16" t="inlineStr">
        <is>
          <t>Jenis Layanan</t>
        </is>
      </c>
      <c r="B13" s="16" t="inlineStr">
        <is>
          <t>Jumlah Transaksi</t>
        </is>
      </c>
      <c r="C13" s="16" t="inlineStr">
        <is>
          <t>% dari Total</t>
        </is>
      </c>
      <c r="D13" s="16" t="inlineStr">
        <is>
          <t>Total Pendapatan (Rp)</t>
        </is>
      </c>
      <c r="E13" s="16" t="inlineStr">
        <is>
          <t>Rata-rata Kepuasan</t>
        </is>
      </c>
      <c r="F13" s="16" t="inlineStr">
        <is>
          <t>Kategori</t>
        </is>
      </c>
    </row>
    <row r="14">
      <c r="A14" s="17" t="inlineStr">
        <is>
          <t>Servis AC Mobil</t>
        </is>
      </c>
      <c r="B14" s="18">
        <f>COUNTIF('Data Transaksi Servis'!G2:G101,"Servis AC Mobil")</f>
        <v/>
      </c>
      <c r="C14" s="19">
        <f>B14/B5*100</f>
        <v/>
      </c>
      <c r="D14" s="20">
        <f>SUMIF('Data Transaksi Servis'!G2:G101,"Servis AC Mobil",'Data Transaksi Servis'!Q2:Q101)</f>
        <v/>
      </c>
      <c r="E14" s="21">
        <f>AVERAGEIF('Data Transaksi Servis'!G2:G101,"Servis AC Mobil",'Data Transaksi Servis'!R2:R101)</f>
        <v/>
      </c>
      <c r="F14" s="22" t="inlineStr">
        <is>
          <t>AC</t>
        </is>
      </c>
    </row>
    <row r="15">
      <c r="A15" s="23" t="inlineStr">
        <is>
          <t>Ganti Freon AC</t>
        </is>
      </c>
      <c r="B15" s="24">
        <f>COUNTIF('Data Transaksi Servis'!G2:G101,"Ganti Freon AC")</f>
        <v/>
      </c>
      <c r="C15" s="25">
        <f>B15/B5*100</f>
        <v/>
      </c>
      <c r="D15" s="26">
        <f>SUMIF('Data Transaksi Servis'!G2:G101,"Ganti Freon AC",'Data Transaksi Servis'!Q2:Q101)</f>
        <v/>
      </c>
      <c r="E15" s="27">
        <f>AVERAGEIF('Data Transaksi Servis'!G2:G101,"Ganti Freon AC",'Data Transaksi Servis'!R2:R101)</f>
        <v/>
      </c>
      <c r="F15" s="28" t="inlineStr">
        <is>
          <t>AC</t>
        </is>
      </c>
    </row>
    <row r="16">
      <c r="A16" s="17" t="inlineStr">
        <is>
          <t>Overhaul AC</t>
        </is>
      </c>
      <c r="B16" s="18">
        <f>COUNTIF('Data Transaksi Servis'!G2:G101,"Overhaul AC")</f>
        <v/>
      </c>
      <c r="C16" s="19">
        <f>B16/B5*100</f>
        <v/>
      </c>
      <c r="D16" s="20">
        <f>SUMIF('Data Transaksi Servis'!G2:G101,"Overhaul AC",'Data Transaksi Servis'!Q2:Q101)</f>
        <v/>
      </c>
      <c r="E16" s="21">
        <f>AVERAGEIF('Data Transaksi Servis'!G2:G101,"Overhaul AC",'Data Transaksi Servis'!R2:R101)</f>
        <v/>
      </c>
      <c r="F16" s="22" t="inlineStr">
        <is>
          <t>AC</t>
        </is>
      </c>
    </row>
    <row r="17">
      <c r="A17" s="23" t="inlineStr">
        <is>
          <t>Pembersihan Evaporator</t>
        </is>
      </c>
      <c r="B17" s="24">
        <f>COUNTIF('Data Transaksi Servis'!G2:G101,"Pembersihan Evaporator")</f>
        <v/>
      </c>
      <c r="C17" s="25">
        <f>B17/B5*100</f>
        <v/>
      </c>
      <c r="D17" s="26">
        <f>SUMIF('Data Transaksi Servis'!G2:G101,"Pembersihan Evaporator",'Data Transaksi Servis'!Q2:Q101)</f>
        <v/>
      </c>
      <c r="E17" s="27">
        <f>AVERAGEIF('Data Transaksi Servis'!G2:G101,"Pembersihan Evaporator",'Data Transaksi Servis'!R2:R101)</f>
        <v/>
      </c>
      <c r="F17" s="28" t="inlineStr">
        <is>
          <t>AC</t>
        </is>
      </c>
    </row>
    <row r="18">
      <c r="A18" s="17" t="inlineStr">
        <is>
          <t>Servis Non-AC (Tune Up)</t>
        </is>
      </c>
      <c r="B18" s="18">
        <f>COUNTIF('Data Transaksi Servis'!G2:G101,"Servis Non-AC (Tune Up)")</f>
        <v/>
      </c>
      <c r="C18" s="19">
        <f>B18/B5*100</f>
        <v/>
      </c>
      <c r="D18" s="20">
        <f>SUMIF('Data Transaksi Servis'!G2:G101,"Servis Non-AC (Tune Up)",'Data Transaksi Servis'!Q2:Q101)</f>
        <v/>
      </c>
      <c r="E18" s="21">
        <f>AVERAGEIF('Data Transaksi Servis'!G2:G101,"Servis Non-AC (Tune Up)",'Data Transaksi Servis'!R2:R101)</f>
        <v/>
      </c>
      <c r="F18" s="22" t="inlineStr">
        <is>
          <t>Non-AC</t>
        </is>
      </c>
    </row>
    <row r="19">
      <c r="A19" s="23" t="inlineStr">
        <is>
          <t>Ganti Oli &amp; Filter</t>
        </is>
      </c>
      <c r="B19" s="24">
        <f>COUNTIF('Data Transaksi Servis'!G2:G101,"Ganti Oli &amp; Filter")</f>
        <v/>
      </c>
      <c r="C19" s="25">
        <f>B19/B5*100</f>
        <v/>
      </c>
      <c r="D19" s="26">
        <f>SUMIF('Data Transaksi Servis'!G2:G101,"Ganti Oli &amp; Filter",'Data Transaksi Servis'!Q2:Q101)</f>
        <v/>
      </c>
      <c r="E19" s="27">
        <f>AVERAGEIF('Data Transaksi Servis'!G2:G101,"Ganti Oli &amp; Filter",'Data Transaksi Servis'!R2:R101)</f>
        <v/>
      </c>
      <c r="F19" s="28" t="inlineStr">
        <is>
          <t>Non-AC</t>
        </is>
      </c>
    </row>
    <row r="20">
      <c r="A20" s="17" t="inlineStr">
        <is>
          <t>Servis Rem</t>
        </is>
      </c>
      <c r="B20" s="18">
        <f>COUNTIF('Data Transaksi Servis'!G2:G101,"Servis Rem")</f>
        <v/>
      </c>
      <c r="C20" s="19">
        <f>B20/B5*100</f>
        <v/>
      </c>
      <c r="D20" s="20">
        <f>SUMIF('Data Transaksi Servis'!G2:G101,"Servis Rem",'Data Transaksi Servis'!Q2:Q101)</f>
        <v/>
      </c>
      <c r="E20" s="21">
        <f>AVERAGEIF('Data Transaksi Servis'!G2:G101,"Servis Rem",'Data Transaksi Servis'!R2:R101)</f>
        <v/>
      </c>
      <c r="F20" s="22" t="inlineStr">
        <is>
          <t>Non-AC</t>
        </is>
      </c>
    </row>
    <row r="21">
      <c r="A21" s="23" t="inlineStr">
        <is>
          <t>Pemeriksaan Kelistrikan</t>
        </is>
      </c>
      <c r="B21" s="24">
        <f>COUNTIF('Data Transaksi Servis'!G2:G101,"Pemeriksaan Kelistrikan")</f>
        <v/>
      </c>
      <c r="C21" s="25">
        <f>B21/B5*100</f>
        <v/>
      </c>
      <c r="D21" s="26">
        <f>SUMIF('Data Transaksi Servis'!G2:G101,"Pemeriksaan Kelistrikan",'Data Transaksi Servis'!Q2:Q101)</f>
        <v/>
      </c>
      <c r="E21" s="27">
        <f>AVERAGEIF('Data Transaksi Servis'!G2:G101,"Pemeriksaan Kelistrikan",'Data Transaksi Servis'!R2:R101)</f>
        <v/>
      </c>
      <c r="F21" s="28" t="inlineStr">
        <is>
          <t>Non-AC</t>
        </is>
      </c>
    </row>
    <row r="22">
      <c r="A22" s="17" t="inlineStr">
        <is>
          <t>Servis Transmisi</t>
        </is>
      </c>
      <c r="B22" s="18">
        <f>COUNTIF('Data Transaksi Servis'!G2:G101,"Servis Transmisi")</f>
        <v/>
      </c>
      <c r="C22" s="19">
        <f>B22/B5*100</f>
        <v/>
      </c>
      <c r="D22" s="20">
        <f>SUMIF('Data Transaksi Servis'!G2:G101,"Servis Transmisi",'Data Transaksi Servis'!Q2:Q101)</f>
        <v/>
      </c>
      <c r="E22" s="21">
        <f>AVERAGEIF('Data Transaksi Servis'!G2:G101,"Servis Transmisi",'Data Transaksi Servis'!R2:R101)</f>
        <v/>
      </c>
      <c r="F22" s="22" t="inlineStr">
        <is>
          <t>Non-AC</t>
        </is>
      </c>
    </row>
  </sheetData>
  <mergeCells count="17">
    <mergeCell ref="E9:F9"/>
    <mergeCell ref="A2:F2"/>
    <mergeCell ref="B6:C6"/>
    <mergeCell ref="E6:F6"/>
    <mergeCell ref="B7:C7"/>
    <mergeCell ref="E7:F7"/>
    <mergeCell ref="E10:F10"/>
    <mergeCell ref="B5:C5"/>
    <mergeCell ref="A1:F1"/>
    <mergeCell ref="D4:F4"/>
    <mergeCell ref="B10:C10"/>
    <mergeCell ref="E5:F5"/>
    <mergeCell ref="A12:F12"/>
    <mergeCell ref="B9:C9"/>
    <mergeCell ref="A4:C4"/>
    <mergeCell ref="B8:C8"/>
    <mergeCell ref="E8:F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6" customWidth="1" min="4" max="4"/>
    <col width="16" customWidth="1" min="5" max="5"/>
  </cols>
  <sheetData>
    <row r="1" ht="28" customHeight="1">
      <c r="A1" s="29" t="inlineStr">
        <is>
          <t>ANALISIS KINERJA PER PROVINSI - MITRA TEKNIK OTOMOTIF</t>
        </is>
      </c>
    </row>
    <row r="2">
      <c r="A2" s="16" t="inlineStr">
        <is>
          <t>Provinsi</t>
        </is>
      </c>
      <c r="B2" s="16" t="inlineStr">
        <is>
          <t>Jumlah Transaksi</t>
        </is>
      </c>
      <c r="C2" s="16" t="inlineStr">
        <is>
          <t>Total Pendapatan (Rp)</t>
        </is>
      </c>
      <c r="D2" s="16" t="inlineStr">
        <is>
          <t>Rata-rata Rating</t>
        </is>
      </c>
      <c r="E2" s="16" t="inlineStr">
        <is>
          <t>Kontribusi (%)</t>
        </is>
      </c>
    </row>
    <row r="3">
      <c r="A3" s="17" t="inlineStr">
        <is>
          <t>DKI Jakarta</t>
        </is>
      </c>
      <c r="B3" s="18">
        <f>COUNTIF('Data Transaksi Servis'!F2:F101,"DKI Jakarta")</f>
        <v/>
      </c>
      <c r="C3" s="20">
        <f>SUMIF('Data Transaksi Servis'!F2:F101,"DKI Jakarta",'Data Transaksi Servis'!Q2:Q101)</f>
        <v/>
      </c>
      <c r="D3" s="21">
        <f>IFERROR(AVERAGEIF('Data Transaksi Servis'!F2:F101,"DKI Jakarta",'Data Transaksi Servis'!R2:R101),"-")</f>
        <v/>
      </c>
      <c r="E3" s="19">
        <f>IFERROR(B3/SUM(B3:B14)*100,0)</f>
        <v/>
      </c>
    </row>
    <row r="4">
      <c r="A4" s="23" t="inlineStr">
        <is>
          <t>Jawa Barat</t>
        </is>
      </c>
      <c r="B4" s="24">
        <f>COUNTIF('Data Transaksi Servis'!F2:F101,"Jawa Barat")</f>
        <v/>
      </c>
      <c r="C4" s="26">
        <f>SUMIF('Data Transaksi Servis'!F2:F101,"Jawa Barat",'Data Transaksi Servis'!Q2:Q101)</f>
        <v/>
      </c>
      <c r="D4" s="27">
        <f>IFERROR(AVERAGEIF('Data Transaksi Servis'!F2:F101,"Jawa Barat",'Data Transaksi Servis'!R2:R101),"-")</f>
        <v/>
      </c>
      <c r="E4" s="25">
        <f>IFERROR(B4/SUM(B3:B14)*100,0)</f>
        <v/>
      </c>
    </row>
    <row r="5">
      <c r="A5" s="17" t="inlineStr">
        <is>
          <t>Jawa Tengah</t>
        </is>
      </c>
      <c r="B5" s="18">
        <f>COUNTIF('Data Transaksi Servis'!F2:F101,"Jawa Tengah")</f>
        <v/>
      </c>
      <c r="C5" s="20">
        <f>SUMIF('Data Transaksi Servis'!F2:F101,"Jawa Tengah",'Data Transaksi Servis'!Q2:Q101)</f>
        <v/>
      </c>
      <c r="D5" s="21">
        <f>IFERROR(AVERAGEIF('Data Transaksi Servis'!F2:F101,"Jawa Tengah",'Data Transaksi Servis'!R2:R101),"-")</f>
        <v/>
      </c>
      <c r="E5" s="19">
        <f>IFERROR(B5/SUM(B3:B14)*100,0)</f>
        <v/>
      </c>
    </row>
    <row r="6">
      <c r="A6" s="23" t="inlineStr">
        <is>
          <t>Jawa Timur</t>
        </is>
      </c>
      <c r="B6" s="24">
        <f>COUNTIF('Data Transaksi Servis'!F2:F101,"Jawa Timur")</f>
        <v/>
      </c>
      <c r="C6" s="26">
        <f>SUMIF('Data Transaksi Servis'!F2:F101,"Jawa Timur",'Data Transaksi Servis'!Q2:Q101)</f>
        <v/>
      </c>
      <c r="D6" s="27">
        <f>IFERROR(AVERAGEIF('Data Transaksi Servis'!F2:F101,"Jawa Timur",'Data Transaksi Servis'!R2:R101),"-")</f>
        <v/>
      </c>
      <c r="E6" s="25">
        <f>IFERROR(B6/SUM(B3:B14)*100,0)</f>
        <v/>
      </c>
    </row>
    <row r="7">
      <c r="A7" s="17" t="inlineStr">
        <is>
          <t>DI Yogyakarta</t>
        </is>
      </c>
      <c r="B7" s="18">
        <f>COUNTIF('Data Transaksi Servis'!F2:F101,"DI Yogyakarta")</f>
        <v/>
      </c>
      <c r="C7" s="20">
        <f>SUMIF('Data Transaksi Servis'!F2:F101,"DI Yogyakarta",'Data Transaksi Servis'!Q2:Q101)</f>
        <v/>
      </c>
      <c r="D7" s="21">
        <f>IFERROR(AVERAGEIF('Data Transaksi Servis'!F2:F101,"DI Yogyakarta",'Data Transaksi Servis'!R2:R101),"-")</f>
        <v/>
      </c>
      <c r="E7" s="19">
        <f>IFERROR(B7/SUM(B3:B14)*100,0)</f>
        <v/>
      </c>
    </row>
    <row r="8">
      <c r="A8" s="23" t="inlineStr">
        <is>
          <t>Banten</t>
        </is>
      </c>
      <c r="B8" s="24">
        <f>COUNTIF('Data Transaksi Servis'!F2:F101,"Banten")</f>
        <v/>
      </c>
      <c r="C8" s="26">
        <f>SUMIF('Data Transaksi Servis'!F2:F101,"Banten",'Data Transaksi Servis'!Q2:Q101)</f>
        <v/>
      </c>
      <c r="D8" s="27">
        <f>IFERROR(AVERAGEIF('Data Transaksi Servis'!F2:F101,"Banten",'Data Transaksi Servis'!R2:R101),"-")</f>
        <v/>
      </c>
      <c r="E8" s="25">
        <f>IFERROR(B8/SUM(B3:B14)*100,0)</f>
        <v/>
      </c>
    </row>
    <row r="9">
      <c r="A9" s="17" t="inlineStr">
        <is>
          <t>Sumatera Utara</t>
        </is>
      </c>
      <c r="B9" s="18">
        <f>COUNTIF('Data Transaksi Servis'!F2:F101,"Sumatera Utara")</f>
        <v/>
      </c>
      <c r="C9" s="20">
        <f>SUMIF('Data Transaksi Servis'!F2:F101,"Sumatera Utara",'Data Transaksi Servis'!Q2:Q101)</f>
        <v/>
      </c>
      <c r="D9" s="21">
        <f>IFERROR(AVERAGEIF('Data Transaksi Servis'!F2:F101,"Sumatera Utara",'Data Transaksi Servis'!R2:R101),"-")</f>
        <v/>
      </c>
      <c r="E9" s="19">
        <f>IFERROR(B9/SUM(B3:B14)*100,0)</f>
        <v/>
      </c>
    </row>
    <row r="10">
      <c r="A10" s="23" t="inlineStr">
        <is>
          <t>Sumatera Selatan</t>
        </is>
      </c>
      <c r="B10" s="24">
        <f>COUNTIF('Data Transaksi Servis'!F2:F101,"Sumatera Selatan")</f>
        <v/>
      </c>
      <c r="C10" s="26">
        <f>SUMIF('Data Transaksi Servis'!F2:F101,"Sumatera Selatan",'Data Transaksi Servis'!Q2:Q101)</f>
        <v/>
      </c>
      <c r="D10" s="27">
        <f>IFERROR(AVERAGEIF('Data Transaksi Servis'!F2:F101,"Sumatera Selatan",'Data Transaksi Servis'!R2:R101),"-")</f>
        <v/>
      </c>
      <c r="E10" s="25">
        <f>IFERROR(B10/SUM(B3:B14)*100,0)</f>
        <v/>
      </c>
    </row>
    <row r="11">
      <c r="A11" s="17" t="inlineStr">
        <is>
          <t>Riau</t>
        </is>
      </c>
      <c r="B11" s="18">
        <f>COUNTIF('Data Transaksi Servis'!F2:F101,"Riau")</f>
        <v/>
      </c>
      <c r="C11" s="20">
        <f>SUMIF('Data Transaksi Servis'!F2:F101,"Riau",'Data Transaksi Servis'!Q2:Q101)</f>
        <v/>
      </c>
      <c r="D11" s="21">
        <f>IFERROR(AVERAGEIF('Data Transaksi Servis'!F2:F101,"Riau",'Data Transaksi Servis'!R2:R101),"-")</f>
        <v/>
      </c>
      <c r="E11" s="19">
        <f>IFERROR(B11/SUM(B3:B14)*100,0)</f>
        <v/>
      </c>
    </row>
    <row r="12">
      <c r="A12" s="23" t="inlineStr">
        <is>
          <t>Bali</t>
        </is>
      </c>
      <c r="B12" s="24">
        <f>COUNTIF('Data Transaksi Servis'!F2:F101,"Bali")</f>
        <v/>
      </c>
      <c r="C12" s="26">
        <f>SUMIF('Data Transaksi Servis'!F2:F101,"Bali",'Data Transaksi Servis'!Q2:Q101)</f>
        <v/>
      </c>
      <c r="D12" s="27">
        <f>IFERROR(AVERAGEIF('Data Transaksi Servis'!F2:F101,"Bali",'Data Transaksi Servis'!R2:R101),"-")</f>
        <v/>
      </c>
      <c r="E12" s="25">
        <f>IFERROR(B12/SUM(B3:B14)*100,0)</f>
        <v/>
      </c>
    </row>
    <row r="13">
      <c r="A13" s="17" t="inlineStr">
        <is>
          <t>Sulawesi Selatan</t>
        </is>
      </c>
      <c r="B13" s="18">
        <f>COUNTIF('Data Transaksi Servis'!F2:F101,"Sulawesi Selatan")</f>
        <v/>
      </c>
      <c r="C13" s="20">
        <f>SUMIF('Data Transaksi Servis'!F2:F101,"Sulawesi Selatan",'Data Transaksi Servis'!Q2:Q101)</f>
        <v/>
      </c>
      <c r="D13" s="21">
        <f>IFERROR(AVERAGEIF('Data Transaksi Servis'!F2:F101,"Sulawesi Selatan",'Data Transaksi Servis'!R2:R101),"-")</f>
        <v/>
      </c>
      <c r="E13" s="19">
        <f>IFERROR(B13/SUM(B3:B14)*100,0)</f>
        <v/>
      </c>
    </row>
    <row r="14">
      <c r="A14" s="23" t="inlineStr">
        <is>
          <t>Kalimantan Timur</t>
        </is>
      </c>
      <c r="B14" s="24">
        <f>COUNTIF('Data Transaksi Servis'!F2:F101,"Kalimantan Timur")</f>
        <v/>
      </c>
      <c r="C14" s="26">
        <f>SUMIF('Data Transaksi Servis'!F2:F101,"Kalimantan Timur",'Data Transaksi Servis'!Q2:Q101)</f>
        <v/>
      </c>
      <c r="D14" s="27">
        <f>IFERROR(AVERAGEIF('Data Transaksi Servis'!F2:F101,"Kalimantan Timur",'Data Transaksi Servis'!R2:R101),"-")</f>
        <v/>
      </c>
      <c r="E14" s="25">
        <f>IFERROR(B14/SUM(B3:B14)*100,0)</f>
        <v/>
      </c>
    </row>
    <row r="15">
      <c r="A15" s="11" t="inlineStr">
        <is>
          <t>TOTAL</t>
        </is>
      </c>
      <c r="B15" s="30">
        <f>SUM(B3:B14)</f>
        <v/>
      </c>
      <c r="C15" s="31">
        <f>SUM(C3:C14)</f>
        <v/>
      </c>
      <c r="D15" s="32">
        <f>AVERAGE('Data Transaksi Servis'!R2:R101)</f>
        <v/>
      </c>
      <c r="E15" s="33" t="inlineStr">
        <is>
          <t>100.0%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6" customWidth="1" min="4" max="4"/>
    <col width="14" customWidth="1" min="5" max="5"/>
    <col width="20" customWidth="1" min="6" max="6"/>
    <col width="18" customWidth="1" min="7" max="7"/>
  </cols>
  <sheetData>
    <row r="1" ht="28" customHeight="1">
      <c r="A1" s="29" t="inlineStr">
        <is>
          <t>MONITORING &amp; EVALUASI BUSINESS PLAN - MitraTeknik Otomotif 2024-2025</t>
        </is>
      </c>
    </row>
    <row r="2">
      <c r="A2" s="16" t="inlineStr">
        <is>
          <t>Indikator KPI</t>
        </is>
      </c>
      <c r="B2" s="16" t="inlineStr">
        <is>
          <t>Target 2024</t>
        </is>
      </c>
      <c r="C2" s="16" t="inlineStr">
        <is>
          <t>Realisasi 2024</t>
        </is>
      </c>
      <c r="D2" s="16" t="inlineStr">
        <is>
          <t>% Pencapaian</t>
        </is>
      </c>
      <c r="E2" s="16" t="inlineStr">
        <is>
          <t>Target 2025</t>
        </is>
      </c>
      <c r="F2" s="16" t="inlineStr">
        <is>
          <t>Realisasi YTD 2025</t>
        </is>
      </c>
      <c r="G2" s="16" t="inlineStr">
        <is>
          <t>Status</t>
        </is>
      </c>
    </row>
    <row r="3">
      <c r="A3" s="17" t="inlineStr">
        <is>
          <t>Jumlah Dealer Mitra Aktif</t>
        </is>
      </c>
      <c r="B3" s="34" t="n">
        <v>180</v>
      </c>
      <c r="C3" s="34" t="n">
        <v>195</v>
      </c>
      <c r="D3" s="19">
        <f>C3/B3*100</f>
        <v/>
      </c>
      <c r="E3" s="34" t="n">
        <v>220</v>
      </c>
      <c r="F3" s="34" t="n">
        <v>210</v>
      </c>
      <c r="G3" s="22">
        <f>IF(C3/B3&gt;=1,"✓ Tercapai",IF(C3/B3&gt;=0.9,"⚠ Hampir Tercapai","✗ Belum Tercapai"))</f>
        <v/>
      </c>
    </row>
    <row r="4">
      <c r="A4" s="23" t="inlineStr">
        <is>
          <t>Total Transaksi Servis</t>
        </is>
      </c>
      <c r="B4" s="35" t="n">
        <v>5000</v>
      </c>
      <c r="C4" s="35" t="n">
        <v>5340</v>
      </c>
      <c r="D4" s="25">
        <f>C4/B4*100</f>
        <v/>
      </c>
      <c r="E4" s="35" t="n">
        <v>6500</v>
      </c>
      <c r="F4" s="35" t="n">
        <v>2890</v>
      </c>
      <c r="G4" s="28">
        <f>IF(C4/B4&gt;=1,"✓ Tercapai",IF(C4/B4&gt;=0.9,"⚠ Hampir Tercapai","✗ Belum Tercapai"))</f>
        <v/>
      </c>
    </row>
    <row r="5">
      <c r="A5" s="17" t="inlineStr">
        <is>
          <t>Total Pendapatan (Rp Juta)</t>
        </is>
      </c>
      <c r="B5" s="34" t="n">
        <v>12500</v>
      </c>
      <c r="C5" s="34" t="n">
        <v>13200</v>
      </c>
      <c r="D5" s="19">
        <f>C5/B5*100</f>
        <v/>
      </c>
      <c r="E5" s="34" t="n">
        <v>16000</v>
      </c>
      <c r="F5" s="34" t="n">
        <v>7450</v>
      </c>
      <c r="G5" s="22">
        <f>IF(C5/B5&gt;=1,"✓ Tercapai",IF(C5/B5&gt;=0.9,"⚠ Hampir Tercapai","✗ Belum Tercapai"))</f>
        <v/>
      </c>
    </row>
    <row r="6">
      <c r="A6" s="23" t="inlineStr">
        <is>
          <t>Rata-rata Rating Kepuasan</t>
        </is>
      </c>
      <c r="B6" s="35" t="n">
        <v>4.2</v>
      </c>
      <c r="C6" s="35" t="n">
        <v>4.4</v>
      </c>
      <c r="D6" s="25">
        <f>C6/B6*100</f>
        <v/>
      </c>
      <c r="E6" s="35" t="n">
        <v>4.5</v>
      </c>
      <c r="F6" s="35" t="n">
        <v>4.5</v>
      </c>
      <c r="G6" s="28">
        <f>IF(C6/B6&gt;=1,"✓ Tercapai",IF(C6/B6&gt;=0.9,"⚠ Hampir Tercapai","✗ Belum Tercapai"))</f>
        <v/>
      </c>
    </row>
    <row r="7">
      <c r="A7" s="17" t="inlineStr">
        <is>
          <t>Jumlah Teknisi Tersertifikasi</t>
        </is>
      </c>
      <c r="B7" s="34" t="n">
        <v>350</v>
      </c>
      <c r="C7" s="34" t="n">
        <v>378</v>
      </c>
      <c r="D7" s="19">
        <f>C7/B7*100</f>
        <v/>
      </c>
      <c r="E7" s="34" t="n">
        <v>420</v>
      </c>
      <c r="F7" s="34" t="n">
        <v>395</v>
      </c>
      <c r="G7" s="22">
        <f>IF(C7/B7&gt;=1,"✓ Tercapai",IF(C7/B7&gt;=0.9,"⚠ Hampir Tercapai","✗ Belum Tercapai"))</f>
        <v/>
      </c>
    </row>
    <row r="8">
      <c r="A8" s="23" t="inlineStr">
        <is>
          <t>Jangkauan Provinsi</t>
        </is>
      </c>
      <c r="B8" s="35" t="n">
        <v>28</v>
      </c>
      <c r="C8" s="35" t="n">
        <v>30</v>
      </c>
      <c r="D8" s="25">
        <f>C8/B8*100</f>
        <v/>
      </c>
      <c r="E8" s="35" t="n">
        <v>34</v>
      </c>
      <c r="F8" s="35" t="n">
        <v>32</v>
      </c>
      <c r="G8" s="28">
        <f>IF(C8/B8&gt;=1,"✓ Tercapai",IF(C8/B8&gt;=0.9,"⚠ Hampir Tercapai","✗ Belum Tercapai"))</f>
        <v/>
      </c>
    </row>
    <row r="9">
      <c r="A9" s="17" t="inlineStr">
        <is>
          <t>Layanan AC (% dari total)</t>
        </is>
      </c>
      <c r="B9" s="34" t="n">
        <v>55</v>
      </c>
      <c r="C9" s="34" t="n">
        <v>58</v>
      </c>
      <c r="D9" s="19">
        <f>C9/B9*100</f>
        <v/>
      </c>
      <c r="E9" s="34" t="n">
        <v>60</v>
      </c>
      <c r="F9" s="34" t="n">
        <v>57</v>
      </c>
      <c r="G9" s="22">
        <f>IF(C9/B9&gt;=1,"✓ Tercapai",IF(C9/B9&gt;=0.9,"⚠ Hampir Tercapai","✗ Belum Tercapai"))</f>
        <v/>
      </c>
    </row>
    <row r="10">
      <c r="A10" s="23" t="inlineStr">
        <is>
          <t>Waktu Penyelesaian Rata-rata (jam)</t>
        </is>
      </c>
      <c r="B10" s="35" t="n">
        <v>3.5</v>
      </c>
      <c r="C10" s="35" t="n">
        <v>3.2</v>
      </c>
      <c r="D10" s="25">
        <f>C10/B10*100</f>
        <v/>
      </c>
      <c r="E10" s="35" t="n">
        <v>3</v>
      </c>
      <c r="F10" s="35" t="n">
        <v>3.1</v>
      </c>
      <c r="G10" s="28">
        <f>IF(C10/B10&gt;=1,"✓ Tercapai",IF(C10/B10&gt;=0.9,"⚠ Hampir Tercapai","✗ Belum Tercapai"))</f>
        <v/>
      </c>
    </row>
    <row r="11">
      <c r="A11" s="17" t="inlineStr">
        <is>
          <t>Tingkat Komplain (%)</t>
        </is>
      </c>
      <c r="B11" s="34" t="n">
        <v>5</v>
      </c>
      <c r="C11" s="34" t="n">
        <v>3.8</v>
      </c>
      <c r="D11" s="19">
        <f>C11/B11*100</f>
        <v/>
      </c>
      <c r="E11" s="34" t="n">
        <v>3</v>
      </c>
      <c r="F11" s="34" t="n">
        <v>2.9</v>
      </c>
      <c r="G11" s="22">
        <f>IF(C11/B11&gt;=1,"✓ Tercapai",IF(C11/B11&gt;=0.9,"⚠ Hampir Tercapai","✗ Belum Tercapai"))</f>
        <v/>
      </c>
    </row>
    <row r="12">
      <c r="A12" s="23" t="inlineStr">
        <is>
          <t>Pelatihan Teknisi (sesi/tahun)</t>
        </is>
      </c>
      <c r="B12" s="35" t="n">
        <v>24</v>
      </c>
      <c r="C12" s="35" t="n">
        <v>26</v>
      </c>
      <c r="D12" s="25">
        <f>C12/B12*100</f>
        <v/>
      </c>
      <c r="E12" s="35" t="n">
        <v>30</v>
      </c>
      <c r="F12" s="35" t="n">
        <v>14</v>
      </c>
      <c r="G12" s="28">
        <f>IF(C12/B12&gt;=1,"✓ Tercapai",IF(C12/B12&gt;=0.9,"⚠ Hampir Tercapai","✗ Belum Tercapai"))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2026-05-15T00:04:09Z</dcterms:created>
  <dcterms:modified xmlns:dcterms="http://purl.org/dc/terms/" xmlns:xsi="http://www.w3.org/2001/XMLSchema-instance" xsi:type="dcterms:W3CDTF">2026-05-15T00:04:09Z</dcterms:modified>
</cp:coreProperties>
</file>